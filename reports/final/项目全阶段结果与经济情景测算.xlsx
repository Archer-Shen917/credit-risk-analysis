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fa3c51b14a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6ad8389fc8a44d38"/>
    <x:sheet xmlns:r="http://schemas.openxmlformats.org/officeDocument/2006/relationships" name="模型评估" sheetId="2" r:id="R3c52b564b24c4245"/>
    <x:sheet xmlns:r="http://schemas.openxmlformats.org/officeDocument/2006/relationships" name="WOE分箱" sheetId="3" r:id="R13c9c2a170564ca7"/>
    <x:sheet xmlns:r="http://schemas.openxmlformats.org/officeDocument/2006/relationships" name="IV与筛选" sheetId="4" r:id="R51cdbcd26b594b54"/>
    <x:sheet xmlns:r="http://schemas.openxmlformats.org/officeDocument/2006/relationships" name="VIF检查" sheetId="5" r:id="Rc7a5220a94a54b75"/>
    <x:sheet xmlns:r="http://schemas.openxmlformats.org/officeDocument/2006/relationships" name="迭代记录" sheetId="6" r:id="R6168dc3635ab4917"/>
    <x:sheet xmlns:r="http://schemas.openxmlformats.org/officeDocument/2006/relationships" name="外部评分对照" sheetId="7" r:id="R25ae435283d54959"/>
    <x:sheet xmlns:r="http://schemas.openxmlformats.org/officeDocument/2006/relationships" name="阈值网格" sheetId="8" r:id="Ra80f50023f4a4325"/>
    <x:sheet xmlns:r="http://schemas.openxmlformats.org/officeDocument/2006/relationships" name="策略效果" sheetId="9" r:id="R1c5eba14f4a9477b"/>
    <x:sheet xmlns:r="http://schemas.openxmlformats.org/officeDocument/2006/relationships" name="分层明细" sheetId="10" r:id="Ra17aec4e13054527"/>
    <x:sheet xmlns:r="http://schemas.openxmlformats.org/officeDocument/2006/relationships" name="群体审计" sheetId="11" r:id="R302d8b3d6e8e46e8"/>
    <x:sheet xmlns:r="http://schemas.openxmlformats.org/officeDocument/2006/relationships" name="SHAP因子" sheetId="12" r:id="Rfb7569ce3ae646bc"/>
    <x:sheet xmlns:r="http://schemas.openxmlformats.org/officeDocument/2006/relationships" name="局部案例" sheetId="13" r:id="R8c5c6c44478b45d5"/>
    <x:sheet xmlns:r="http://schemas.openxmlformats.org/officeDocument/2006/relationships" name="数据字典" sheetId="14" r:id="Rd111f48389f94b60"/>
    <x:sheet xmlns:r="http://schemas.openxmlformats.org/officeDocument/2006/relationships" name="阶段一交叉" sheetId="15" r:id="R35076c0a36204bfd"/>
    <x:sheet xmlns:r="http://schemas.openxmlformats.org/officeDocument/2006/relationships" name="经济敏感性" sheetId="16" r:id="R3e1da483dd3f4957"/>
    <x:sheet xmlns:r="http://schemas.openxmlformats.org/officeDocument/2006/relationships" name="需求追踪" sheetId="17" r:id="Rf452a0f785ce4a48"/>
    <x:sheet xmlns:r="http://schemas.openxmlformats.org/officeDocument/2006/relationships" name="情景假设" sheetId="18" r:id="Rf92c7e2eb1534d54"/>
    <x:sheet xmlns:r="http://schemas.openxmlformats.org/officeDocument/2006/relationships" name="策略输入" sheetId="19" r:id="Rd94974bf90de486b"/>
    <x:sheet xmlns:r="http://schemas.openxmlformats.org/officeDocument/2006/relationships" name="收益测算" sheetId="20" r:id="R2863b45052ae4f5a"/>
  </x:sheets>
</x:workbook>
</file>

<file path=xl/comments1.xml><?xml version="1.0" encoding="utf-8"?>
<x:comments xmlns:x="http://schemas.openxmlformats.org/spreadsheetml/2006/main">
  <x:authors>
    <x:author>tc={56DD292E-CE94-4C8F-A768-6828A94CB095}</x:author>
    <x:author>tc={EB8C1F05-C408-4E44-9CF2-740CBDD46BD3}</x:author>
    <x:author>tc={57D2D38C-FE35-414F-BC12-9E6D638B7604}</x:author>
    <x:author>tc={FE6F4B88-7626-49C9-B755-A31418ADA775}</x:author>
    <x:author>tc={5741476C-774A-4235-B6B3-749145455882}</x:author>
    <x:author>tc={2645EB95-3CC1-4413-A8E4-02C48ADA63D3}</x:author>
    <x:author>tc={F5A5A830-3BCE-48DC-B368-2101145C04CD}</x:author>
    <x:author>tc={E51AC819-4265-48F8-A610-1D2595ACD5CC}</x:author>
    <x:author>tc={4885876D-6924-4ECE-BC27-5969F89A777C}</x:author>
    <x:author>tc={6F2C4946-76DF-4828-83EE-F0A4D161A284}</x:author>
    <x:author>tc={A11D4D18-6750-4633-8DDF-222F5A16B528}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来源：outputs/phase4/economic_assumptions.json。研究情景设定；并非银行真实业务量。研究情景输入，不是机构实测参数。</x:t>
        </x:r>
      </x:text>
    </x:comment>
    <x:comment ref="B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来源：outputs/phase4/economic_assumptions.json。研究情景设定；不使用Home Credit金额货币单位。研究情景输入，不是机构实测参数。</x:t>
        </x:r>
      </x:text>
    </x:comment>
    <x:comment ref="B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来源：outputs/phase4/economic_assumptions.json。研究假设；不是金融产品报价。研究情景输入，不是机构实测参数。</x:t>
        </x:r>
      </x:text>
    </x:comment>
    <x:comment ref="B7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来源：outputs/phase4/economic_assumptions.json。研究假设。研究情景输入，不是机构实测参数。</x:t>
        </x:r>
      </x:text>
    </x:comment>
    <x:comment ref="B8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来源：outputs/phase4/economic_assumptions.json。研究假设，缺少实际回收记录。研究情景输入，不是机构实测参数。</x:t>
        </x:r>
      </x:text>
    </x:comment>
    <x:comment ref="B9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来源：outputs/phase4/economic_assumptions.json。研究假设。研究情景输入，不是机构实测参数。</x:t>
        </x:r>
      </x:text>
    </x:comment>
    <x:comment ref="B10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来源：outputs/phase4/economic_assumptions.json。随机60%通过假设，不使用完美人工审核假设。研究情景输入，不是机构实测参数。</x:t>
        </x:r>
      </x:text>
    </x:comment>
    <x:comment ref="B1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来源：outputs/phase4/economic_assumptions.json。研究假设，标准额度的70%。研究情景输入，不是机构实测参数。</x:t>
        </x:r>
      </x:text>
    </x:comment>
    <x:comment ref="B12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来源：outputs/phase4/economic_assumptions.json。未经验证的映射；不能当作真实年度PD。研究情景输入，不是机构实测参数。</x:t>
        </x:r>
      </x:text>
    </x:comment>
    <x:comment ref="B13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来源：outputs/phase4/economic_assumptions.json。研究假设；示例旧规则固定成本为0。研究情景输入，不是机构实测参数。</x:t>
        </x:r>
      </x:text>
    </x:comment>
    <x:comment ref="B14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来源：outputs/phase4/economic_assumptions.json。统一每亿元已批准敞口比较，不是额外业务规模假设。研究情景输入，不是机构实测参数。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"/>
    <x:numFmt numFmtId="201" formatCode="0.0000;[Red](0.0000);&quot;-&quot;"/>
    <x:numFmt numFmtId="202" formatCode="#,##0;[Red](#,##0);&quot;-&quot;"/>
    <x:numFmt numFmtId="203" formatCode="0.00%;[Red](0.00%);&quot;-&quot;"/>
    <x:numFmt numFmtId="204" formatCode="#,##0.00;[Red](#,##0.00);&quot;-&quot;"/>
    <x:numFmt numFmtId="205" formatCode="0.0%;[Red](0.0%);&quot;-&quot;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3"/>
      <x:color rgb="FFFFFFFF"/>
      <x:name val="Carlito"/>
    </x:font>
    <x:font>
      <x:sz val="10"/>
      <x:color rgb="FF64748B"/>
      <x:name val="Carlito"/>
    </x:font>
    <x:font>
      <x:b/>
      <x:sz val="11"/>
      <x:color rgb="FF17384D"/>
      <x:name val="Carlito"/>
    </x:font>
    <x:font>
      <x:sz val="10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1"/>
      <x:color rgb="FF000000"/>
      <x:name val="Carlito"/>
    </x:font>
    <x:font>
      <x:b/>
      <x:sz val="11"/>
      <x:color rgb="FF008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84D"/>
      </x:patternFill>
    </x:fill>
    <x:fill>
      <x:patternFill patternType="solid">
        <x:fgColor rgb="FFE7EFF3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6" fillId="0" borderId="1" xfId="0" applyNumberFormat="1" applyFont="1" applyFill="1" applyBorder="1"/>
    <x:xf numFmtId="201" fontId="6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204" fontId="7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204" fontId="7" fillId="4" borderId="1" xfId="0" applyNumberFormat="1" applyFont="1" applyFill="1" applyBorder="1"/>
    <x:xf numFmtId="205" fontId="7" fillId="4" borderId="0" xfId="0" applyNumberFormat="1" applyFont="1" applyFill="1" applyBorder="1"/>
    <x:xf numFmtId="205" fontId="7" fillId="4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8" fillId="0" borderId="0" xfId="0" applyNumberFormat="1" applyFont="1" applyFill="1" applyBorder="1"/>
    <x:xf numFmtId="204" fontId="8" fillId="0" borderId="0" xfId="0" applyNumberFormat="1" applyFont="1" applyFill="1" applyBorder="1"/>
    <x:xf numFmtId="203" fontId="8" fillId="0" borderId="0" xfId="0" applyNumberFormat="1" applyFont="1" applyFill="1" applyBorder="1"/>
    <x:xf numFmtId="0" fontId="8" fillId="0" borderId="1" xfId="0" applyNumberFormat="1" applyFont="1" applyFill="1" applyBorder="1"/>
    <x:xf numFmtId="204" fontId="8" fillId="0" borderId="1" xfId="0" applyNumberFormat="1" applyFont="1" applyFill="1" applyBorder="1"/>
    <x:xf numFmtId="203" fontId="8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204" fontId="9" fillId="0" borderId="0" xfId="0" applyNumberFormat="1" applyFont="1" applyFill="1" applyBorder="1"/>
    <x:xf numFmtId="204" fontId="9" fillId="0" borderId="1" xfId="0" applyNumberFormat="1" applyFont="1" applyFill="1" applyBorder="1"/>
    <x:xf numFmtId="204" fontId="8" fillId="3" borderId="0" xfId="0" applyNumberFormat="1" applyFont="1" applyFill="1" applyBorder="1"/>
    <x:xf numFmtId="204" fontId="9" fillId="3" borderId="0" xfId="0" applyNumberFormat="1" applyFont="1" applyFill="1" applyBorder="1"/>
    <x:xf numFmtId="204" fontId="8" fillId="3" borderId="1" xfId="0" applyNumberFormat="1" applyFont="1" applyFill="1" applyBorder="1"/>
    <x:xf numFmtId="204" fontId="9" fillId="3" borderId="1" xfId="0" applyNumberFormat="1" applyFont="1" applyFill="1" applyBorder="1"/>
    <x:xf numFmtId="204" fontId="10" fillId="3" borderId="0" xfId="0" applyNumberFormat="1" applyFont="1" applyFill="1" applyBorder="1"/>
    <x:xf numFmtId="204" fontId="11" fillId="3" borderId="0" xfId="0" applyNumberFormat="1" applyFont="1" applyFill="1" applyBorder="1"/>
    <x:xf numFmtId="204" fontId="10" fillId="3" borderId="1" xfId="0" applyNumberFormat="1" applyFont="1" applyFill="1" applyBorder="1"/>
    <x:xf numFmtId="204" fontId="11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e6382079d846ce" /><Relationship Type="http://schemas.openxmlformats.org/officeDocument/2006/relationships/theme" Target="/xl/theme/theme1.xml" Id="Re99169ac81e14402" /><Relationship Type="http://schemas.microsoft.com/office/2022/11/relationships/FeaturePropertyBag" Target="/xl/featurePropertyBag/featurePropertyBag.xml" Id="R09948253e33d4e8f" /><Relationship Type="http://schemas.openxmlformats.org/officeDocument/2006/relationships/sharedStrings" Target="/xl/sharedStrings.xml" Id="R645d4edf874e4258" /><Relationship Type="http://schemas.openxmlformats.org/officeDocument/2006/relationships/worksheet" Target="/xl/worksheets/sheet1.xml" Id="R6ad8389fc8a44d38" /><Relationship Type="http://schemas.openxmlformats.org/officeDocument/2006/relationships/worksheet" Target="/xl/worksheets/sheet2.xml" Id="R3c52b564b24c4245" /><Relationship Type="http://schemas.openxmlformats.org/officeDocument/2006/relationships/worksheet" Target="/xl/worksheets/sheet3.xml" Id="R13c9c2a170564ca7" /><Relationship Type="http://schemas.openxmlformats.org/officeDocument/2006/relationships/worksheet" Target="/xl/worksheets/sheet4.xml" Id="R51cdbcd26b594b54" /><Relationship Type="http://schemas.openxmlformats.org/officeDocument/2006/relationships/worksheet" Target="/xl/worksheets/sheet5.xml" Id="Rc7a5220a94a54b75" /><Relationship Type="http://schemas.openxmlformats.org/officeDocument/2006/relationships/worksheet" Target="/xl/worksheets/sheet6.xml" Id="R6168dc3635ab4917" /><Relationship Type="http://schemas.openxmlformats.org/officeDocument/2006/relationships/worksheet" Target="/xl/worksheets/sheet7.xml" Id="R25ae435283d54959" /><Relationship Type="http://schemas.openxmlformats.org/officeDocument/2006/relationships/worksheet" Target="/xl/worksheets/sheet8.xml" Id="Ra80f50023f4a4325" /><Relationship Type="http://schemas.openxmlformats.org/officeDocument/2006/relationships/worksheet" Target="/xl/worksheets/sheet9.xml" Id="R1c5eba14f4a9477b" /><Relationship Type="http://schemas.openxmlformats.org/officeDocument/2006/relationships/worksheet" Target="/xl/worksheets/sheet10.xml" Id="Ra17aec4e13054527" /><Relationship Type="http://schemas.openxmlformats.org/officeDocument/2006/relationships/worksheet" Target="/xl/worksheets/sheet11.xml" Id="R302d8b3d6e8e46e8" /><Relationship Type="http://schemas.openxmlformats.org/officeDocument/2006/relationships/worksheet" Target="/xl/worksheets/sheet12.xml" Id="Rfb7569ce3ae646bc" /><Relationship Type="http://schemas.openxmlformats.org/officeDocument/2006/relationships/worksheet" Target="/xl/worksheets/sheet13.xml" Id="R8c5c6c44478b45d5" /><Relationship Type="http://schemas.openxmlformats.org/officeDocument/2006/relationships/worksheet" Target="/xl/worksheets/sheet14.xml" Id="Rd111f48389f94b60" /><Relationship Type="http://schemas.openxmlformats.org/officeDocument/2006/relationships/worksheet" Target="/xl/worksheets/sheet15.xml" Id="R35076c0a36204bfd" /><Relationship Type="http://schemas.openxmlformats.org/officeDocument/2006/relationships/worksheet" Target="/xl/worksheets/sheet16.xml" Id="R3e1da483dd3f4957" /><Relationship Type="http://schemas.openxmlformats.org/officeDocument/2006/relationships/worksheet" Target="/xl/worksheets/sheet17.xml" Id="Rf452a0f785ce4a48" /><Relationship Type="http://schemas.openxmlformats.org/officeDocument/2006/relationships/worksheet" Target="/xl/worksheets/sheet18.xml" Id="Rf92c7e2eb1534d54" /><Relationship Type="http://schemas.openxmlformats.org/officeDocument/2006/relationships/worksheet" Target="/xl/worksheets/sheet19.xml" Id="Rd94974bf90de486b" /><Relationship Type="http://schemas.openxmlformats.org/officeDocument/2006/relationships/worksheet" Target="/xl/worksheets/sheet20.xml" Id="R2863b45052ae4f5a" /><Relationship Type="http://schemas.microsoft.com/office/2017/10/relationships/person" Target="/xl/persons/person.xml" Id="R6c11434ec34d4a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Research assumptions" id="{38CE4EEF-726F-4C1F-AA03-B80C72E4DBD5}"/>
</xltc:personList>
</file>

<file path=xl/tables/table1.xml><?xml version="1.0" encoding="utf-8"?>
<x:table xmlns:x="http://schemas.openxmlformats.org/spreadsheetml/2006/main" id="1" name="T1" displayName="T1" ref="A4:S12" headerRowCount="1" totalsRowCount="0" totalsRowShown="0">
  <x:tableColumns count="19">
    <x:tableColumn id="1" name="model"/>
    <x:tableColumn id="2" name="operating_point"/>
    <x:tableColumn id="3" name="n"/>
    <x:tableColumn id="4" name="positive_rate"/>
    <x:tableColumn id="5" name="auc"/>
    <x:tableColumn id="6" name="ks"/>
    <x:tableColumn id="7" name="gini"/>
    <x:tableColumn id="8" name="average_precision"/>
    <x:tableColumn id="9" name="brier"/>
    <x:tableColumn id="10" name="log_loss"/>
    <x:tableColumn id="11" name="threshold"/>
    <x:tableColumn id="12" name="precision"/>
    <x:tableColumn id="13" name="recall"/>
    <x:tableColumn id="14" name="f1"/>
    <x:tableColumn id="15" name="accuracy"/>
    <x:tableColumn id="16" name="tn"/>
    <x:tableColumn id="17" name="fp"/>
    <x:tableColumn id="18" name="fn"/>
    <x:tableColumn id="19" name="t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" displayName="T2" ref="A4:L427" headerRowCount="1" totalsRowCount="0" totalsRowShown="0">
  <x:tableColumns count="12">
    <x:tableColumn id="1" name="bin"/>
    <x:tableColumn id="2" name="n"/>
    <x:tableColumn id="3" name="bad"/>
    <x:tableColumn id="4" name="good"/>
    <x:tableColumn id="5" name="dist_good"/>
    <x:tableColumn id="6" name="dist_bad"/>
    <x:tableColumn id="7" name="woe"/>
    <x:tableColumn id="8" name="iv_bin"/>
    <x:tableColumn id="9" name="target_rate"/>
    <x:tableColumn id="10" name="feature"/>
    <x:tableColumn id="11" name="bin_definition"/>
    <x:tableColumn id="12" name="small_cel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" displayName="T3" ref="A4:C113" headerRowCount="1" totalsRowCount="0" totalsRowShown="0">
  <x:tableColumns count="3">
    <x:tableColumn id="1" name="feature"/>
    <x:tableColumn id="2" name="iv"/>
    <x:tableColumn id="3" name="deci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" displayName="T4" ref="A4:B45" headerRowCount="1" totalsRowCount="0" totalsRowShown="0">
  <x:tableColumns count="2">
    <x:tableColumn id="1" name="feature"/>
    <x:tableColumn id="2" name="vif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" displayName="T5" ref="A4:Y16" headerRowCount="1" totalsRowCount="0" totalsRowShown="0">
  <x:tableColumns count="25">
    <x:tableColumn id="1" name="name"/>
    <x:tableColumn id="2" name="stage"/>
    <x:tableColumn id="3" name="interactions"/>
    <x:tableColumn id="4" name="n"/>
    <x:tableColumn id="5" name="positive_rate"/>
    <x:tableColumn id="6" name="auc"/>
    <x:tableColumn id="7" name="ks"/>
    <x:tableColumn id="8" name="gini"/>
    <x:tableColumn id="9" name="average_precision"/>
    <x:tableColumn id="10" name="brier"/>
    <x:tableColumn id="11" name="log_loss"/>
    <x:tableColumn id="12" name="threshold"/>
    <x:tableColumn id="13" name="precision"/>
    <x:tableColumn id="14" name="recall"/>
    <x:tableColumn id="15" name="f1"/>
    <x:tableColumn id="16" name="accuracy"/>
    <x:tableColumn id="17" name="tn"/>
    <x:tableColumn id="18" name="fp"/>
    <x:tableColumn id="19" name="fn"/>
    <x:tableColumn id="20" name="tp"/>
    <x:tableColumn id="21" name="best_iteration"/>
    <x:tableColumn id="22" name="runtime_seconds"/>
    <x:tableColumn id="23" name="ks_cutoff"/>
    <x:tableColumn id="24" name="recall_at_ks"/>
    <x:tableColumn id="25" name="precision_at_k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" displayName="T6" ref="A4:W6" headerRowCount="1" totalsRowCount="0" totalsRowShown="0">
  <x:tableColumns count="23">
    <x:tableColumn id="1" name="variant"/>
    <x:tableColumn id="2" name="n"/>
    <x:tableColumn id="3" name="positive_rate"/>
    <x:tableColumn id="4" name="auc"/>
    <x:tableColumn id="5" name="ks"/>
    <x:tableColumn id="6" name="gini"/>
    <x:tableColumn id="7" name="average_precision"/>
    <x:tableColumn id="8" name="brier"/>
    <x:tableColumn id="9" name="log_loss"/>
    <x:tableColumn id="10" name="threshold"/>
    <x:tableColumn id="11" name="precision"/>
    <x:tableColumn id="12" name="recall"/>
    <x:tableColumn id="13" name="f1"/>
    <x:tableColumn id="14" name="accuracy"/>
    <x:tableColumn id="15" name="tn"/>
    <x:tableColumn id="16" name="fp"/>
    <x:tableColumn id="17" name="fn"/>
    <x:tableColumn id="18" name="tp"/>
    <x:tableColumn id="19" name="best_iteration"/>
    <x:tableColumn id="20" name="runtime_seconds"/>
    <x:tableColumn id="21" name="ks_cutoff"/>
    <x:tableColumn id="22" name="recall_at_ks"/>
    <x:tableColumn id="23" name="precision_at_k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" displayName="T7" ref="A4:L26" headerRowCount="1" totalsRowCount="0" totalsRowShown="0">
  <x:tableColumns count="12">
    <x:tableColumn id="1" name="policy"/>
    <x:tableColumn id="2" name="lower"/>
    <x:tableColumn id="3" name="upper"/>
    <x:tableColumn id="4" name="lower_quantile"/>
    <x:tableColumn id="5" name="upper_quantile"/>
    <x:tableColumn id="6" name="auto_approve_share"/>
    <x:tableColumn id="7" name="manual_share"/>
    <x:tableColumn id="8" name="low_target_rate"/>
    <x:tableColumn id="9" name="low_ci_lower"/>
    <x:tableColumn id="10" name="low_ci_upper"/>
    <x:tableColumn id="11" name="risk_cap"/>
    <x:tableColumn id="12" name="feasib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" displayName="T8" ref="A4:K7" headerRowCount="1" totalsRowCount="0" totalsRowShown="0">
  <x:tableColumns count="11">
    <x:tableColumn id="1" name="strategy"/>
    <x:tableColumn id="2" name="auto_approve_share"/>
    <x:tableColumn id="3" name="manual_share"/>
    <x:tableColumn id="4" name="auto_reject_share"/>
    <x:tableColumn id="5" name="automatic_decision_share"/>
    <x:tableColumn id="6" name="auto_approve_target_rate"/>
    <x:tableColumn id="7" name="high_target_capture"/>
    <x:tableColumn id="8" name="projected_approval_share"/>
    <x:tableColumn id="9" name="projected_approved_target_rate"/>
    <x:tableColumn id="10" name="manual_acceptance_assumption"/>
    <x:tableColumn id="11" name="manual_selection_assump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" displayName="T9" ref="A4:I13" headerRowCount="1" totalsRowCount="0" totalsRowShown="0">
  <x:tableColumns count="9">
    <x:tableColumn id="1" name="strategy"/>
    <x:tableColumn id="2" name="tier"/>
    <x:tableColumn id="3" name="n"/>
    <x:tableColumn id="4" name="share"/>
    <x:tableColumn id="5" name="positives"/>
    <x:tableColumn id="6" name="observed_target_rate"/>
    <x:tableColumn id="7" name="mean_predicted_risk"/>
    <x:tableColumn id="8" name="ci_lower"/>
    <x:tableColumn id="9" name="ci_uppe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" displayName="T10" ref="A4:L11" headerRowCount="1" totalsRowCount="0" totalsRowShown="0">
  <x:tableColumns count="12">
    <x:tableColumn id="1" name="attribute"/>
    <x:tableColumn id="2" name="group"/>
    <x:tableColumn id="3" name="n"/>
    <x:tableColumn id="4" name="target_rate"/>
    <x:tableColumn id="5" name="auto_approve_share"/>
    <x:tableColumn id="6" name="approval_ci_lower"/>
    <x:tableColumn id="7" name="approval_ci_upper"/>
    <x:tableColumn id="8" name="high_risk_tpr"/>
    <x:tableColumn id="9" name="high_risk_fpr"/>
    <x:tableColumn id="10" name="auc"/>
    <x:tableColumn id="11" name="sufficient_support"/>
    <x:tableColumn id="12" name="approval_ratio_to_max_group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" displayName="T11" ref="A4:D120" headerRowCount="1" totalsRowCount="0" totalsRowShown="0">
  <x:tableColumns count="4">
    <x:tableColumn id="1" name="feature"/>
    <x:tableColumn id="2" name="mean_absolute_shap"/>
    <x:tableColumn id="3" name="spearman_value_vs_shap"/>
    <x:tableColumn id="4" name="gain_importan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12" displayName="T12" ref="A4:I10" headerRowCount="1" totalsRowCount="0" totalsRowShown="0">
  <x:tableColumns count="9">
    <x:tableColumn id="1" name="case"/>
    <x:tableColumn id="2" name="score_quantile"/>
    <x:tableColumn id="3" name="predicted_probability"/>
    <x:tableColumn id="4" name="target"/>
    <x:tableColumn id="5" name="base_log_odds"/>
    <x:tableColumn id="6" name="sum_contributions"/>
    <x:tableColumn id="7" name="reconstructed_probability"/>
    <x:tableColumn id="8" name="top_drivers"/>
    <x:tableColumn id="9" name="select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13" displayName="T13" ref="A4:G126" headerRowCount="1" totalsRowCount="0" totalsRowShown="0">
  <x:tableColumns count="7">
    <x:tableColumn id="1" name="feature"/>
    <x:tableColumn id="2" name="dtype"/>
    <x:tableColumn id="3" name="missing_count"/>
    <x:tableColumn id="4" name="missing_rate"/>
    <x:tableColumn id="5" name="n_unique"/>
    <x:tableColumn id="6" name="missing_level"/>
    <x:tableColumn id="7" name="Descripti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14" displayName="T14" ref="A4:J10" headerRowCount="1" totalsRowCount="0" totalsRowShown="0">
  <x:tableColumns count="10">
    <x:tableColumn id="1" name="EXT_SOURCE_2"/>
    <x:tableColumn id="2" name="EMPLOYMENT_YEARS"/>
    <x:tableColumn id="3" name="CREDIT_INCOME_RATIO"/>
    <x:tableColumn id="4" name="n"/>
    <x:tableColumn id="5" name="positives"/>
    <x:tableColumn id="6" name="target_rate"/>
    <x:tableColumn id="7" name="ci_lower"/>
    <x:tableColumn id="8" name="ci_upper"/>
    <x:tableColumn id="9" name="risk_lift"/>
    <x:tableColumn id="10" name="candida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15" displayName="T15" ref="A4:R247" headerRowCount="1" totalsRowCount="0" totalsRowShown="0">
  <x:tableColumns count="18">
    <x:tableColumn id="1" name="strategy"/>
    <x:tableColumn id="2" name="applications"/>
    <x:tableColumn id="3" name="projected_approved_count"/>
    <x:tableColumn id="4" name="review_count"/>
    <x:tableColumn id="5" name="approved_exposure_cny_assumed"/>
    <x:tableColumn id="6" name="interest_margin_cny_assumed"/>
    <x:tableColumn id="7" name="proxy_loss_cny_assumed"/>
    <x:tableColumn id="8" name="manual_cost_cny_assumed"/>
    <x:tableColumn id="9" name="fixed_cost_cny_assumed"/>
    <x:tableColumn id="10" name="net_value_cny_assumed"/>
    <x:tableColumn id="11" name="proxy_loss_rate_on_exposure"/>
    <x:tableColumn id="12" name="net_per_100m_approved_exposure"/>
    <x:tableColumn id="13" name="lgd"/>
    <x:tableColumn id="14" name="target_pd_multiplier"/>
    <x:tableColumn id="15" name="manual_acceptance"/>
    <x:tableColumn id="16" name="net_margin_rate"/>
    <x:tableColumn id="17" name="surrogate_net"/>
    <x:tableColumn id="18" name="net_difference_to_surroga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16" displayName="T16" ref="A4:E33" headerRowCount="1" totalsRowCount="0" totalsRowShown="0">
  <x:tableColumns count="5">
    <x:tableColumn id="1" name="阶段"/>
    <x:tableColumn id="2" name="要求"/>
    <x:tableColumn id="3" name="状态"/>
    <x:tableColumn id="4" name="证据路径"/>
    <x:tableColumn id="5" name="边界或解释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10-26T10:47:09.627" personId="{38CE4EEF-726F-4C1F-AA03-B80C72E4DBD5}" id="{56DD292E-CE94-4C8F-A768-6828A94CB095}">
    <xltc:text>来源：outputs/phase4/economic_assumptions.json。研究情景设定；并非银行真实业务量。研究情景输入，不是机构实测参数。</xltc:text>
  </xltc:threadedComment>
  <xltc:threadedComment ref="B5" dT="2026-10-26T10:47:09.647" personId="{38CE4EEF-726F-4C1F-AA03-B80C72E4DBD5}" id="{EB8C1F05-C408-4E44-9CF2-740CBDD46BD3}">
    <xltc:text>来源：outputs/phase4/economic_assumptions.json。研究情景设定；不使用Home Credit金额货币单位。研究情景输入，不是机构实测参数。</xltc:text>
  </xltc:threadedComment>
  <xltc:threadedComment ref="B6" dT="2026-10-26T10:47:09.662" personId="{38CE4EEF-726F-4C1F-AA03-B80C72E4DBD5}" id="{57D2D38C-FE35-414F-BC12-9E6D638B7604}">
    <xltc:text>来源：outputs/phase4/economic_assumptions.json。研究假设；不是金融产品报价。研究情景输入，不是机构实测参数。</xltc:text>
  </xltc:threadedComment>
  <xltc:threadedComment ref="B7" dT="2026-10-26T10:47:09.677" personId="{38CE4EEF-726F-4C1F-AA03-B80C72E4DBD5}" id="{FE6F4B88-7626-49C9-B755-A31418ADA775}">
    <xltc:text>来源：outputs/phase4/economic_assumptions.json。研究假设。研究情景输入，不是机构实测参数。</xltc:text>
  </xltc:threadedComment>
  <xltc:threadedComment ref="B8" dT="2026-10-26T10:47:09.693" personId="{38CE4EEF-726F-4C1F-AA03-B80C72E4DBD5}" id="{5741476C-774A-4235-B6B3-749145455882}">
    <xltc:text>来源：outputs/phase4/economic_assumptions.json。研究假设，缺少实际回收记录。研究情景输入，不是机构实测参数。</xltc:text>
  </xltc:threadedComment>
  <xltc:threadedComment ref="B9" dT="2026-10-26T10:47:09.711" personId="{38CE4EEF-726F-4C1F-AA03-B80C72E4DBD5}" id="{2645EB95-3CC1-4413-A8E4-02C48ADA63D3}">
    <xltc:text>来源：outputs/phase4/economic_assumptions.json。研究假设。研究情景输入，不是机构实测参数。</xltc:text>
  </xltc:threadedComment>
  <xltc:threadedComment ref="B10" dT="2026-10-26T10:47:09.734" personId="{38CE4EEF-726F-4C1F-AA03-B80C72E4DBD5}" id="{F5A5A830-3BCE-48DC-B368-2101145C04CD}">
    <xltc:text>来源：outputs/phase4/economic_assumptions.json。随机60%通过假设，不使用完美人工审核假设。研究情景输入，不是机构实测参数。</xltc:text>
  </xltc:threadedComment>
  <xltc:threadedComment ref="B11" dT="2026-10-26T10:47:09.748" personId="{38CE4EEF-726F-4C1F-AA03-B80C72E4DBD5}" id="{E51AC819-4265-48F8-A610-1D2595ACD5CC}">
    <xltc:text>来源：outputs/phase4/economic_assumptions.json。研究假设，标准额度的70%。研究情景输入，不是机构实测参数。</xltc:text>
  </xltc:threadedComment>
  <xltc:threadedComment ref="B12" dT="2026-10-26T10:47:09.765" personId="{38CE4EEF-726F-4C1F-AA03-B80C72E4DBD5}" id="{4885876D-6924-4ECE-BC27-5969F89A777C}">
    <xltc:text>来源：outputs/phase4/economic_assumptions.json。未经验证的映射；不能当作真实年度PD。研究情景输入，不是机构实测参数。</xltc:text>
  </xltc:threadedComment>
  <xltc:threadedComment ref="B13" dT="2026-10-26T10:47:09.779" personId="{38CE4EEF-726F-4C1F-AA03-B80C72E4DBD5}" id="{6F2C4946-76DF-4828-83EE-F0A4D161A284}">
    <xltc:text>来源：outputs/phase4/economic_assumptions.json。研究假设；示例旧规则固定成本为0。研究情景输入，不是机构实测参数。</xltc:text>
  </xltc:threadedComment>
  <xltc:threadedComment ref="B14" dT="2026-10-26T10:47:09.796" personId="{38CE4EEF-726F-4C1F-AA03-B80C72E4DBD5}" id="{A11D4D18-6750-4633-8DDF-222F5A16B528}">
    <xltc:text>来源：outputs/phase4/economic_assumptions.json。统一每亿元已批准敞口比较，不是额外业务规模假设。研究情景输入，不是机构实测参数。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278228d15d45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b449241d2b48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f6d5156c7a4d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037252520044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4c2f707e8740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339f3873ec342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33862a563040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365781f5b74f7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3949d118f1f42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218b77a33da497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2bf8c04288b49f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ca935ed2201346a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88586ea0b89c4f8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0845ea3e9a19447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26b8b5643c724e4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5bf15c3df5cb42e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comments" Target="/xl/comments1.xml" Id="R8d58a0a21f53495c" /><Relationship Type="http://schemas.openxmlformats.org/officeDocument/2006/relationships/vmlDrawing" Target="/xl/drawings/vmldrawing.vml" Id="Ra636e132cdc543f3" /><Relationship Type="http://schemas.microsoft.com/office/2017/10/relationships/threadedComment" Target="/xl/threadedcomments/threadedcomment.xml" Id="R2aaf001e2a5742b1" /></Relationships>
</file>

<file path=xl/worksheets/sheet1.xml><?xml version="1.0" encoding="utf-8"?>
<x:worksheet xmlns:x="http://schemas.openxmlformats.org/spreadsheetml/2006/main">
  <x:sheetViews>
    <x:sheetView workbookViewId="0">
      <x:pane ySplit="12" topLeftCell="A13" activePane="bottomLeft" state="frozen"/>
    </x:sheetView>
  </x:sheetViews>
  <x:sheetFormatPr defaultRowHeight="15"/>
  <x:cols>
    <x:col min="1" max="1" width="23" hidden="0" customWidth="1"/>
    <x:col min="2" max="2" width="44" hidden="0" customWidth="1"/>
    <x:col min="3" max="3" width="42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32" customHeight="1">
      <x:c r="A1" s="3" t="str">
        <x:v>信用风险研究 · 结项结果与可调情景</x:v>
      </x:c>
      <x:c r="B1" s="3"/>
      <x:c r="C1" s="3"/>
      <x:c r="D1" s="3"/>
      <x:c r="E1" s="3"/>
      <x:c r="F1" s="3"/>
    </x:row>
    <x:row r="3" ht="30" customHeight="1">
      <x:c r="A3" s="6" t="str">
        <x:v>项目版本</x:v>
      </x:c>
      <x:c r="B3" s="8" t="str">
        <x:v>V3 / 2026-10-26</x:v>
      </x:c>
    </x:row>
    <x:row r="4" ht="30" customHeight="1">
      <x:c r="A4" s="6" t="str">
        <x:v>数据</x:v>
      </x:c>
      <x:c r="B4" s="8" t="str">
        <x:v>Home Credit公开申请主表</x:v>
      </x:c>
    </x:row>
    <x:row r="5" ht="30" customHeight="1">
      <x:c r="A5" s="6" t="str">
        <x:v>数据规模</x:v>
      </x:c>
      <x:c r="B5" s="8" t="str">
        <x:v>307,511行 / 122个原始字段</x:v>
      </x:c>
    </x:row>
    <x:row r="6" ht="30" customHeight="1">
      <x:c r="A6" s="6" t="str">
        <x:v>最终AUC</x:v>
      </x:c>
      <x:c r="B6" s="10" t="n">
        <x:v>0.7335582028337222</x:v>
      </x:c>
    </x:row>
    <x:row r="7" ht="30" customHeight="1">
      <x:c r="A7" s="6" t="str">
        <x:v>最终KS</x:v>
      </x:c>
      <x:c r="B7" s="10" t="n">
        <x:v>0.3470210571962399</x:v>
      </x:c>
    </x:row>
    <x:row r="8" ht="30" customHeight="1">
      <x:c r="A8" s="6" t="str">
        <x:v>范围</x:v>
      </x:c>
      <x:c r="B8" s="8" t="str">
        <x:v>主表离线建模及策略仿真，非银行生产实证</x:v>
      </x:c>
    </x:row>
    <x:row r="9" ht="30" customHeight="1">
      <x:c r="A9" s="6" t="str">
        <x:v>经济口径</x:v>
      </x:c>
      <x:c r="B9" s="8" t="str">
        <x:v>人民币额度、PD映射、LGD等均为情景假设</x:v>
      </x:c>
    </x:row>
    <x:row r="10" ht="30" customHeight="1">
      <x:c r="A10" s="6" t="str">
        <x:v>修改方式</x:v>
      </x:c>
      <x:c r="B10" s="8" t="str">
        <x:v>仅“情景假设”黄色单元格可调整；“收益测算”使用公式</x:v>
      </x:c>
    </x:row>
    <x:row r="12" ht="24" customHeight="1">
      <x:c r="A12" s="20" t="str">
        <x:v>工作表</x:v>
      </x:c>
      <x:c r="B12" s="20" t="str">
        <x:v>用途</x:v>
      </x:c>
      <x:c r="C12" s="20" t="str">
        <x:v>数据来源</x:v>
      </x:c>
      <x:c r="D12" s="20" t="str">
        <x:v>评价集合</x:v>
      </x:c>
      <x:c r="E12" s="20" t="str">
        <x:v>重要限制</x:v>
      </x:c>
      <x:c r="F12" s="20" t="str">
        <x:v>类型</x:v>
      </x:c>
    </x:row>
    <x:row r="13" ht="48" customHeight="1">
      <x:c r="A13" s="8" t="str">
        <x:v>模型评估</x:v>
      </x:c>
      <x:c r="B13" s="8" t="str">
        <x:v>阈值0.5和策略集KS阈值分开列示</x:v>
      </x:c>
      <x:c r="C13" s="8" t="str">
        <x:v>outputs/phase3/test_model_metrics.csv</x:v>
      </x:c>
      <x:c r="D13" s="8" t="str">
        <x:v>30%回顾留出集</x:v>
      </x:c>
      <x:c r="E13" s="8" t="str">
        <x:v>详见报告中的数据/推断边界</x:v>
      </x:c>
      <x:c r="F13" s="8" t="str">
        <x:v>实算结果快照</x:v>
      </x:c>
    </x:row>
    <x:row r="14" ht="48" customHeight="1">
      <x:c r="A14" s="8" t="str">
        <x:v>WOE分箱</x:v>
      </x:c>
      <x:c r="B14" s="8" t="str">
        <x:v>每箱定义、样本数、WOE/IV；不是测试集拟合</x:v>
      </x:c>
      <x:c r="C14" s="8" t="str">
        <x:v>outputs/phase2/woe_bins_refit.csv</x:v>
      </x:c>
      <x:c r="D14" s="8" t="str">
        <x:v>最终拟合+调参集</x:v>
      </x:c>
      <x:c r="E14" s="8" t="str">
        <x:v>详见报告中的数据/推断边界</x:v>
      </x:c>
      <x:c r="F14" s="8" t="str">
        <x:v>实算结果快照</x:v>
      </x:c>
    </x:row>
    <x:row r="15" ht="48" customHeight="1">
      <x:c r="A15" s="8" t="str">
        <x:v>IV与筛选</x:v>
      </x:c>
      <x:c r="B15" s="8" t="str">
        <x:v>方差、IV、相关性及VIF过滤轨迹</x:v>
      </x:c>
      <x:c r="C15" s="8" t="str">
        <x:v>outputs/phase2/feature_screening.csv</x:v>
      </x:c>
      <x:c r="D15" s="8" t="str">
        <x:v>拟合集</x:v>
      </x:c>
      <x:c r="E15" s="8" t="str">
        <x:v>详见报告中的数据/推断边界</x:v>
      </x:c>
      <x:c r="F15" s="8" t="str">
        <x:v>实算结果快照</x:v>
      </x:c>
    </x:row>
    <x:row r="16" ht="48" customHeight="1">
      <x:c r="A16" s="8" t="str">
        <x:v>VIF检查</x:v>
      </x:c>
      <x:c r="B16" s="8" t="str">
        <x:v>逻辑回归特征共线性检查</x:v>
      </x:c>
      <x:c r="C16" s="8" t="str">
        <x:v>outputs/phase2/vif_selected_fit.csv</x:v>
      </x:c>
      <x:c r="D16" s="8" t="str">
        <x:v>拟合集</x:v>
      </x:c>
      <x:c r="E16" s="8" t="str">
        <x:v>详见报告中的数据/推断边界</x:v>
      </x:c>
      <x:c r="F16" s="8" t="str">
        <x:v>实算结果快照</x:v>
      </x:c>
    </x:row>
    <x:row r="17" ht="48" customHeight="1">
      <x:c r="A17" s="8" t="str">
        <x:v>迭代记录</x:v>
      </x:c>
      <x:c r="B17" s="8" t="str">
        <x:v>R0至R3真实运行指标与时间</x:v>
      </x:c>
      <x:c r="C17" s="8" t="str">
        <x:v>outputs/phase3/iteration_validation_metrics.csv</x:v>
      </x:c>
      <x:c r="D17" s="8" t="str">
        <x:v>调参集</x:v>
      </x:c>
      <x:c r="E17" s="8" t="str">
        <x:v>详见报告中的数据/推断边界</x:v>
      </x:c>
      <x:c r="F17" s="8" t="str">
        <x:v>实算结果快照</x:v>
      </x:c>
    </x:row>
    <x:row r="18" ht="48" customHeight="1">
      <x:c r="A18" s="8" t="str">
        <x:v>外部评分对照</x:v>
      </x:c>
      <x:c r="B18" s="8" t="str">
        <x:v>EXT3增量诊断，不纳入主方案</x:v>
      </x:c>
      <x:c r="C18" s="8" t="str">
        <x:v>outputs/phase3/ext3_validation_ablation.csv</x:v>
      </x:c>
      <x:c r="D18" s="8" t="str">
        <x:v>调参集</x:v>
      </x:c>
      <x:c r="E18" s="8" t="str">
        <x:v>详见报告中的数据/推断边界</x:v>
      </x:c>
      <x:c r="F18" s="8" t="str">
        <x:v>实算结果快照</x:v>
      </x:c>
    </x:row>
    <x:row r="19" ht="48" customHeight="1">
      <x:c r="A19" s="8" t="str">
        <x:v>阈值网格</x:v>
      </x:c>
      <x:c r="B19" s="8" t="str">
        <x:v>约束与阈值选择不使用测试标签</x:v>
      </x:c>
      <x:c r="C19" s="8" t="str">
        <x:v>outputs/phase3/threshold_grid_policy.csv</x:v>
      </x:c>
      <x:c r="D19" s="8" t="str">
        <x:v>独立策略集</x:v>
      </x:c>
      <x:c r="E19" s="8" t="str">
        <x:v>详见报告中的数据/推断边界</x:v>
      </x:c>
      <x:c r="F19" s="8" t="str">
        <x:v>实算结果快照</x:v>
      </x:c>
    </x:row>
    <x:row r="20" ht="48" customHeight="1">
      <x:c r="A20" s="8" t="str">
        <x:v>策略效果</x:v>
      </x:c>
      <x:c r="B20" s="8" t="str">
        <x:v>示例规则不是机构真实原有规则</x:v>
      </x:c>
      <x:c r="C20" s="8" t="str">
        <x:v>outputs/phase3/strategy_test_metrics.csv</x:v>
      </x:c>
      <x:c r="D20" s="8" t="str">
        <x:v>30%回顾留出集</x:v>
      </x:c>
      <x:c r="E20" s="8" t="str">
        <x:v>详见报告中的数据/推断边界</x:v>
      </x:c>
      <x:c r="F20" s="8" t="str">
        <x:v>实算结果快照</x:v>
      </x:c>
    </x:row>
    <x:row r="21" ht="48" customHeight="1">
      <x:c r="A21" s="8" t="str">
        <x:v>分层明细</x:v>
      </x:c>
      <x:c r="B21" s="8" t="str">
        <x:v>每档计数、观察标签率、置信区间</x:v>
      </x:c>
      <x:c r="C21" s="8" t="str">
        <x:v>outputs/phase3/strategy_tiers_test.csv</x:v>
      </x:c>
      <x:c r="D21" s="8" t="str">
        <x:v>30%回顾留出集</x:v>
      </x:c>
      <x:c r="E21" s="8" t="str">
        <x:v>详见报告中的数据/推断边界</x:v>
      </x:c>
      <x:c r="F21" s="8" t="str">
        <x:v>实算结果快照</x:v>
      </x:c>
    </x:row>
    <x:row r="22" ht="48" customHeight="1">
      <x:c r="A22" s="8" t="str">
        <x:v>群体审计</x:v>
      </x:c>
      <x:c r="B22" s="8" t="str">
        <x:v>差异审计不等于公平或合规认证</x:v>
      </x:c>
      <x:c r="C22" s="8" t="str">
        <x:v>outputs/phase3/fairness_test_groups.csv</x:v>
      </x:c>
      <x:c r="D22" s="8" t="str">
        <x:v>30%回顾留出集</x:v>
      </x:c>
      <x:c r="E22" s="8" t="str">
        <x:v>详见报告中的数据/推断边界</x:v>
      </x:c>
      <x:c r="F22" s="8" t="str">
        <x:v>实算结果快照</x:v>
      </x:c>
    </x:row>
    <x:row r="23" ht="48" customHeight="1">
      <x:c r="A23" s="8" t="str">
        <x:v>SHAP因子</x:v>
      </x:c>
      <x:c r="B23" s="8" t="str">
        <x:v>贡献单位为校准logit，不是因果效果</x:v>
      </x:c>
      <x:c r="C23" s="8" t="str">
        <x:v>outputs/phase3/shap_global_importance.csv</x:v>
      </x:c>
      <x:c r="D23" s="8" t="str">
        <x:v>1500条留出集样本</x:v>
      </x:c>
      <x:c r="E23" s="8" t="str">
        <x:v>详见报告中的数据/推断边界</x:v>
      </x:c>
      <x:c r="F23" s="8" t="str">
        <x:v>实算结果快照</x:v>
      </x:c>
    </x:row>
    <x:row r="24" ht="48" customHeight="1">
      <x:c r="A24" s="8" t="str">
        <x:v>局部案例</x:v>
      </x:c>
      <x:c r="B24" s="8" t="str">
        <x:v>按概率选取，不按预测正确与否筛选</x:v>
      </x:c>
      <x:c r="C24" s="8" t="str">
        <x:v>outputs/phase3/shap_local_cases.csv</x:v>
      </x:c>
      <x:c r="D24" s="8" t="str">
        <x:v>6个概率分位样本</x:v>
      </x:c>
      <x:c r="E24" s="8" t="str">
        <x:v>详见报告中的数据/推断边界</x:v>
      </x:c>
      <x:c r="F24" s="8" t="str">
        <x:v>实算结果快照</x:v>
      </x:c>
    </x:row>
    <x:row r="25" ht="48" customHeight="1">
      <x:c r="A25" s="8" t="str">
        <x:v>数据字典</x:v>
      </x:c>
      <x:c r="B25" s="8" t="str">
        <x:v>原始字段业务说明与数据范围</x:v>
      </x:c>
      <x:c r="C25" s="8" t="str">
        <x:v>outputs/phase1/field_dictionary.csv</x:v>
      </x:c>
      <x:c r="D25" s="8" t="str">
        <x:v>用户原始主表</x:v>
      </x:c>
      <x:c r="E25" s="8" t="str">
        <x:v>详见报告中的数据/推断边界</x:v>
      </x:c>
      <x:c r="F25" s="8" t="str">
        <x:v>实算结果快照</x:v>
      </x:c>
    </x:row>
    <x:row r="26" ht="48" customHeight="1">
      <x:c r="A26" s="8" t="str">
        <x:v>阶段一交叉</x:v>
      </x:c>
      <x:c r="B26" s="8" t="str">
        <x:v>新三维业务组合；不沿用旧双评分结果</x:v>
      </x:c>
      <x:c r="C26" s="8" t="str">
        <x:v>outputs/phase1/signals_holdout_check.csv</x:v>
      </x:c>
      <x:c r="D26" s="8" t="str">
        <x:v>固定组合的回顾确认</x:v>
      </x:c>
      <x:c r="E26" s="8" t="str">
        <x:v>详见报告中的数据/推断边界</x:v>
      </x:c>
      <x:c r="F26" s="8" t="str">
        <x:v>实算结果快照</x:v>
      </x:c>
    </x:row>
    <x:row r="27" ht="48" customHeight="1">
      <x:c r="A27" s="8" t="str">
        <x:v>经济敏感性</x:v>
      </x:c>
      <x:c r="B27" s="8" t="str">
        <x:v>243条；不是实际ROI或场景发生概率</x:v>
      </x:c>
      <x:c r="C27" s="8" t="str">
        <x:v>outputs/phase4/economic_sensitivity.csv</x:v>
      </x:c>
      <x:c r="D27" s="8" t="str">
        <x:v>假设情景</x:v>
      </x:c>
      <x:c r="E27" s="8" t="str">
        <x:v>详见报告中的数据/推断边界</x:v>
      </x:c>
      <x:c r="F27" s="8" t="str">
        <x:v>实算结果快照</x:v>
      </x:c>
    </x:row>
    <x:row r="28" ht="48" customHeight="1">
      <x:c r="A28" s="8" t="str">
        <x:v>需求追踪</x:v>
      </x:c>
      <x:c r="B28" s="8" t="str">
        <x:v>缺历史数据与证券字段的条目明确未实证完成</x:v>
      </x:c>
      <x:c r="C28" s="8" t="str">
        <x:v>docs/requirements_matrix.csv</x:v>
      </x:c>
      <x:c r="D28" s="8" t="str">
        <x:v>项目验收边界</x:v>
      </x:c>
      <x:c r="E28" s="8" t="str">
        <x:v>详见报告中的数据/推断边界</x:v>
      </x:c>
      <x:c r="F28" s="8" t="str">
        <x:v>实算结果快照</x:v>
      </x:c>
    </x:row>
    <x:row r="29" ht="48" customHeight="1">
      <x:c r="A29" s="8" t="str">
        <x:v>情景假设</x:v>
      </x:c>
      <x:c r="B29" s="8" t="str">
        <x:v>黄色输入，可修改</x:v>
      </x:c>
      <x:c r="C29" s="8" t="str">
        <x:v>outputs/phase4/economic_assumptions.json</x:v>
      </x:c>
      <x:c r="D29" s="8" t="str">
        <x:v>假设</x:v>
      </x:c>
      <x:c r="E29" s="8" t="str">
        <x:v>PD映射等未验证</x:v>
      </x:c>
      <x:c r="F29" s="8" t="str">
        <x:v>可调输入</x:v>
      </x:c>
    </x:row>
    <x:row r="30" ht="48" customHeight="1">
      <x:c r="A30" s="8" t="str">
        <x:v>策略输入</x:v>
      </x:c>
      <x:c r="B30" s="8" t="str">
        <x:v>用于公式的固定计数</x:v>
      </x:c>
      <x:c r="C30" s="8" t="str">
        <x:v>outputs/phase3/strategy_tiers_test.csv</x:v>
      </x:c>
      <x:c r="D30" s="8" t="str">
        <x:v>测试集</x:v>
      </x:c>
      <x:c r="E30" s="8" t="str">
        <x:v>不以标签反推个人批准</x:v>
      </x:c>
      <x:c r="F30" s="8" t="str">
        <x:v>实算聚合</x:v>
      </x:c>
    </x:row>
    <x:row r="31" ht="48" customHeight="1">
      <x:c r="A31" s="8" t="str">
        <x:v>收益测算</x:v>
      </x:c>
      <x:c r="B31" s="8" t="str">
        <x:v>公式联动的经济情景</x:v>
      </x:c>
      <x:c r="C31" s="8" t="str">
        <x:v>策略输入 + 情景假设</x:v>
      </x:c>
      <x:c r="D31" s="8" t="str">
        <x:v>假设</x:v>
      </x:c>
      <x:c r="E31" s="8" t="str">
        <x:v>不是实际ROI</x:v>
      </x:c>
      <x:c r="F31" s="8" t="str">
        <x:v>公式计算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27" customHeight="1">
      <x:c r="A1" s="12" t="str">
        <x:v>模型评估 | 30%回顾留出集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</x:row>
    <x:row r="2" ht="32" customHeight="1">
      <x:c r="A2" s="15" t="str">
        <x:v>来源：outputs/phase3/test_model_metrics.csv；阈值0.5和策略集KS阈值分开列示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</x:row>
    <x:row r="4" ht="42" customHeight="1">
      <x:c r="A4" s="20" t="str">
        <x:v>model</x:v>
      </x:c>
      <x:c r="B4" s="20" t="str">
        <x:v>operating_point</x:v>
      </x:c>
      <x:c r="C4" s="20" t="str">
        <x:v>n</x:v>
      </x:c>
      <x:c r="D4" s="20" t="str">
        <x:v>positive_rate</x:v>
      </x:c>
      <x:c r="E4" s="20" t="str">
        <x:v>auc</x:v>
      </x:c>
      <x:c r="F4" s="20" t="str">
        <x:v>ks</x:v>
      </x:c>
      <x:c r="G4" s="20" t="str">
        <x:v>gini</x:v>
      </x:c>
      <x:c r="H4" s="20" t="str">
        <x:v>average_precision</x:v>
      </x:c>
      <x:c r="I4" s="20" t="str">
        <x:v>brier</x:v>
      </x:c>
      <x:c r="J4" s="20" t="str">
        <x:v>log_loss</x:v>
      </x:c>
      <x:c r="K4" s="20" t="str">
        <x:v>threshold</x:v>
      </x:c>
      <x:c r="L4" s="20" t="str">
        <x:v>precision</x:v>
      </x:c>
      <x:c r="M4" s="20" t="str">
        <x:v>recall</x:v>
      </x:c>
      <x:c r="N4" s="20" t="str">
        <x:v>f1</x:v>
      </x:c>
      <x:c r="O4" s="20" t="str">
        <x:v>accuracy</x:v>
      </x:c>
      <x:c r="P4" s="20" t="str">
        <x:v>tn</x:v>
      </x:c>
      <x:c r="Q4" s="20" t="str">
        <x:v>fp</x:v>
      </x:c>
      <x:c r="R4" s="20" t="str">
        <x:v>fn</x:v>
      </x:c>
      <x:c r="S4" s="20" t="str">
        <x:v>tp</x:v>
      </x:c>
    </x:row>
    <x:row r="5" ht="19" customHeight="1">
      <x:c r="A5" s="25" t="str">
        <x:v>WOE_Logistic</x:v>
      </x:c>
      <x:c r="B5" s="25" t="str">
        <x:v>fixed_0.5</x:v>
      </x:c>
      <x:c r="C5" s="28" t="n">
        <x:v>92254</x:v>
      </x:c>
      <x:c r="D5" s="30" t="n">
        <x:v>0.08073362672621241</x:v>
      </x:c>
      <x:c r="E5" s="25" t="n">
        <x:v>0.7072438778131971</x:v>
      </x:c>
      <x:c r="F5" s="25" t="n">
        <x:v>0.30470108715683003</x:v>
      </x:c>
      <x:c r="G5" s="25" t="n">
        <x:v>0.41448775562639417</x:v>
      </x:c>
      <x:c r="H5" s="30" t="n">
        <x:v>0.18472785334583053</x:v>
      </x:c>
      <x:c r="I5" s="25" t="n">
        <x:v>0.07055496103451117</x:v>
      </x:c>
      <x:c r="J5" s="25" t="n">
        <x:v>0.25932185680727843</x:v>
      </x:c>
      <x:c r="K5" s="25" t="n">
        <x:v>0.5</x:v>
      </x:c>
      <x:c r="L5" s="30" t="n">
        <x:v>0</x:v>
      </x:c>
      <x:c r="M5" s="30" t="n">
        <x:v>0</x:v>
      </x:c>
      <x:c r="N5" s="25" t="n">
        <x:v>0</x:v>
      </x:c>
      <x:c r="O5" s="25" t="n">
        <x:v>0.9192555336353979</x:v>
      </x:c>
      <x:c r="P5" s="28" t="n">
        <x:v>84805</x:v>
      </x:c>
      <x:c r="Q5" s="28" t="n">
        <x:v>1</x:v>
      </x:c>
      <x:c r="R5" s="28" t="n">
        <x:v>7448</x:v>
      </x:c>
      <x:c r="S5" s="28" t="n">
        <x:v>0</x:v>
      </x:c>
    </x:row>
    <x:row r="6" ht="19" customHeight="1">
      <x:c r="A6" s="25" t="str">
        <x:v>WOE_Logistic</x:v>
      </x:c>
      <x:c r="B6" s="25" t="str">
        <x:v>policy_KS</x:v>
      </x:c>
      <x:c r="C6" s="28" t="n">
        <x:v>92254</x:v>
      </x:c>
      <x:c r="D6" s="30" t="n">
        <x:v>0.08073362672621241</x:v>
      </x:c>
      <x:c r="E6" s="25" t="n">
        <x:v>0.7072438778131971</x:v>
      </x:c>
      <x:c r="F6" s="25" t="n">
        <x:v>0.30470108715683003</x:v>
      </x:c>
      <x:c r="G6" s="25" t="n">
        <x:v>0.41448775562639417</x:v>
      </x:c>
      <x:c r="H6" s="30" t="n">
        <x:v>0.18472785334583053</x:v>
      </x:c>
      <x:c r="I6" s="25" t="n">
        <x:v>0.07055496103451117</x:v>
      </x:c>
      <x:c r="J6" s="25" t="n">
        <x:v>0.25932185680727843</x:v>
      </x:c>
      <x:c r="K6" s="25" t="n">
        <x:v>0.08538180682767946</x:v>
      </x:c>
      <x:c r="L6" s="30" t="n">
        <x:v>0.14520888336698246</x:v>
      </x:c>
      <x:c r="M6" s="30" t="n">
        <x:v>0.6276852846401718</x:v>
      </x:c>
      <x:c r="N6" s="25" t="n">
        <x:v>0.23585500592790656</x:v>
      </x:c>
      <x:c r="O6" s="25" t="n">
        <x:v>0.671634834261929</x:v>
      </x:c>
      <x:c r="P6" s="28" t="n">
        <x:v>57286</x:v>
      </x:c>
      <x:c r="Q6" s="28" t="n">
        <x:v>27520</x:v>
      </x:c>
      <x:c r="R6" s="28" t="n">
        <x:v>2773</x:v>
      </x:c>
      <x:c r="S6" s="28" t="n">
        <x:v>4675</x:v>
      </x:c>
    </x:row>
    <x:row r="7" ht="19" customHeight="1">
      <x:c r="A7" s="25" t="str">
        <x:v>LGBM_Baseline</x:v>
      </x:c>
      <x:c r="B7" s="25" t="str">
        <x:v>fixed_0.5</x:v>
      </x:c>
      <x:c r="C7" s="28" t="n">
        <x:v>92254</x:v>
      </x:c>
      <x:c r="D7" s="30" t="n">
        <x:v>0.08073362672621241</x:v>
      </x:c>
      <x:c r="E7" s="25" t="n">
        <x:v>0.7325596800917431</x:v>
      </x:c>
      <x:c r="F7" s="25" t="n">
        <x:v>0.34166205472106387</x:v>
      </x:c>
      <x:c r="G7" s="25" t="n">
        <x:v>0.4651193601834862</x:v>
      </x:c>
      <x:c r="H7" s="30" t="n">
        <x:v>0.21435205952178063</x:v>
      </x:c>
      <x:c r="I7" s="25" t="n">
        <x:v>0.06925425476726103</x:v>
      </x:c>
      <x:c r="J7" s="25" t="n">
        <x:v>0.25302526394137903</x:v>
      </x:c>
      <x:c r="K7" s="25" t="n">
        <x:v>0.5</x:v>
      </x:c>
      <x:c r="L7" s="30" t="n">
        <x:v>0.5206611570247934</x:v>
      </x:c>
      <x:c r="M7" s="30" t="n">
        <x:v>0.008458646616541353</x:v>
      </x:c>
      <x:c r="N7" s="25" t="n">
        <x:v>0.016646848989298454</x:v>
      </x:c>
      <x:c r="O7" s="25" t="n">
        <x:v>0.9193205714657359</x:v>
      </x:c>
      <x:c r="P7" s="28" t="n">
        <x:v>84748</x:v>
      </x:c>
      <x:c r="Q7" s="28" t="n">
        <x:v>58</x:v>
      </x:c>
      <x:c r="R7" s="28" t="n">
        <x:v>7385</x:v>
      </x:c>
      <x:c r="S7" s="28" t="n">
        <x:v>63</x:v>
      </x:c>
    </x:row>
    <x:row r="8" ht="19" customHeight="1">
      <x:c r="A8" s="25" t="str">
        <x:v>LGBM_Baseline</x:v>
      </x:c>
      <x:c r="B8" s="25" t="str">
        <x:v>policy_KS</x:v>
      </x:c>
      <x:c r="C8" s="28" t="n">
        <x:v>92254</x:v>
      </x:c>
      <x:c r="D8" s="30" t="n">
        <x:v>0.08073362672621241</x:v>
      </x:c>
      <x:c r="E8" s="25" t="n">
        <x:v>0.7325596800917431</x:v>
      </x:c>
      <x:c r="F8" s="25" t="n">
        <x:v>0.34166205472106387</x:v>
      </x:c>
      <x:c r="G8" s="25" t="n">
        <x:v>0.4651193601834862</x:v>
      </x:c>
      <x:c r="H8" s="30" t="n">
        <x:v>0.21435205952178063</x:v>
      </x:c>
      <x:c r="I8" s="25" t="n">
        <x:v>0.06925425476726103</x:v>
      </x:c>
      <x:c r="J8" s="25" t="n">
        <x:v>0.25302526394137903</x:v>
      </x:c>
      <x:c r="K8" s="25" t="n">
        <x:v>0.08072835663989274</x:v>
      </x:c>
      <x:c r="L8" s="30" t="n">
        <x:v>0.15653673456107242</x:v>
      </x:c>
      <x:c r="M8" s="30" t="n">
        <x:v>0.6459452201933404</x:v>
      </x:c>
      <x:c r="N8" s="25" t="n">
        <x:v>0.25200356188780054</x:v>
      </x:c>
      <x:c r="O8" s="25" t="n">
        <x:v>0.6904199275912155</x:v>
      </x:c>
      <x:c r="P8" s="28" t="n">
        <x:v>58883</x:v>
      </x:c>
      <x:c r="Q8" s="28" t="n">
        <x:v>25923</x:v>
      </x:c>
      <x:c r="R8" s="28" t="n">
        <x:v>2637</x:v>
      </x:c>
      <x:c r="S8" s="28" t="n">
        <x:v>4811</x:v>
      </x:c>
    </x:row>
    <x:row r="9" ht="19" customHeight="1">
      <x:c r="A9" s="25" t="str">
        <x:v>LGBM_Final_Raw</x:v>
      </x:c>
      <x:c r="B9" s="25" t="str">
        <x:v>fixed_0.5</x:v>
      </x:c>
      <x:c r="C9" s="28" t="n">
        <x:v>92254</x:v>
      </x:c>
      <x:c r="D9" s="30" t="n">
        <x:v>0.08073362672621241</x:v>
      </x:c>
      <x:c r="E9" s="25" t="n">
        <x:v>0.7335582028337222</x:v>
      </x:c>
      <x:c r="F9" s="25" t="n">
        <x:v>0.3470210571962399</x:v>
      </x:c>
      <x:c r="G9" s="25" t="n">
        <x:v>0.4671164056674444</x:v>
      </x:c>
      <x:c r="H9" s="30" t="n">
        <x:v>0.21425576701358426</x:v>
      </x:c>
      <x:c r="I9" s="25" t="n">
        <x:v>0.0692467894899278</x:v>
      </x:c>
      <x:c r="J9" s="25" t="n">
        <x:v>0.25284548233544635</x:v>
      </x:c>
      <x:c r="K9" s="25" t="n">
        <x:v>0.5</x:v>
      </x:c>
      <x:c r="L9" s="30" t="n">
        <x:v>0.4881889763779528</x:v>
      </x:c>
      <x:c r="M9" s="30" t="n">
        <x:v>0.00832438238453276</x:v>
      </x:c>
      <x:c r="N9" s="25" t="n">
        <x:v>0.01636963696369637</x:v>
      </x:c>
      <x:c r="O9" s="25" t="n">
        <x:v>0.9192338543586186</x:v>
      </x:c>
      <x:c r="P9" s="28" t="n">
        <x:v>84741</x:v>
      </x:c>
      <x:c r="Q9" s="28" t="n">
        <x:v>65</x:v>
      </x:c>
      <x:c r="R9" s="28" t="n">
        <x:v>7386</x:v>
      </x:c>
      <x:c r="S9" s="28" t="n">
        <x:v>62</x:v>
      </x:c>
    </x:row>
    <x:row r="10" ht="19" customHeight="1">
      <x:c r="A10" s="25" t="str">
        <x:v>LGBM_Final_Raw</x:v>
      </x:c>
      <x:c r="B10" s="25" t="str">
        <x:v>policy_KS</x:v>
      </x:c>
      <x:c r="C10" s="28" t="n">
        <x:v>92254</x:v>
      </x:c>
      <x:c r="D10" s="30" t="n">
        <x:v>0.08073362672621241</x:v>
      </x:c>
      <x:c r="E10" s="25" t="n">
        <x:v>0.7335582028337222</x:v>
      </x:c>
      <x:c r="F10" s="25" t="n">
        <x:v>0.3470210571962399</x:v>
      </x:c>
      <x:c r="G10" s="25" t="n">
        <x:v>0.4671164056674444</x:v>
      </x:c>
      <x:c r="H10" s="30" t="n">
        <x:v>0.21425576701358426</x:v>
      </x:c>
      <x:c r="I10" s="25" t="n">
        <x:v>0.0692467894899278</x:v>
      </x:c>
      <x:c r="J10" s="25" t="n">
        <x:v>0.25284548233544635</x:v>
      </x:c>
      <x:c r="K10" s="25" t="n">
        <x:v>0.08793749848494307</x:v>
      </x:c>
      <x:c r="L10" s="30" t="n">
        <x:v>0.1647182689514958</x:v>
      </x:c>
      <x:c r="M10" s="30" t="n">
        <x:v>0.609156820622986</x:v>
      </x:c>
      <x:c r="N10" s="25" t="n">
        <x:v>0.2593164151806127</x:v>
      </x:c>
      <x:c r="O10" s="25" t="n">
        <x:v>0.719058252216706</x:v>
      </x:c>
      <x:c r="P10" s="28" t="n">
        <x:v>61799</x:v>
      </x:c>
      <x:c r="Q10" s="28" t="n">
        <x:v>23007</x:v>
      </x:c>
      <x:c r="R10" s="28" t="n">
        <x:v>2911</x:v>
      </x:c>
      <x:c r="S10" s="28" t="n">
        <x:v>4537</x:v>
      </x:c>
    </x:row>
    <x:row r="11" ht="19" customHeight="1">
      <x:c r="A11" s="25" t="str">
        <x:v>LGBM_Final_Calibrated</x:v>
      </x:c>
      <x:c r="B11" s="25" t="str">
        <x:v>fixed_0.5</x:v>
      </x:c>
      <x:c r="C11" s="28" t="n">
        <x:v>92254</x:v>
      </x:c>
      <x:c r="D11" s="30" t="n">
        <x:v>0.08073362672621241</x:v>
      </x:c>
      <x:c r="E11" s="25" t="n">
        <x:v>0.7335582028337222</x:v>
      </x:c>
      <x:c r="F11" s="25" t="n">
        <x:v>0.3470210571962399</x:v>
      </x:c>
      <x:c r="G11" s="25" t="n">
        <x:v>0.4671164056674444</x:v>
      </x:c>
      <x:c r="H11" s="30" t="n">
        <x:v>0.21425576701358426</x:v>
      </x:c>
      <x:c r="I11" s="25" t="n">
        <x:v>0.06925869513621379</x:v>
      </x:c>
      <x:c r="J11" s="25" t="n">
        <x:v>0.2528546031688551</x:v>
      </x:c>
      <x:c r="K11" s="25" t="n">
        <x:v>0.5</x:v>
      </x:c>
      <x:c r="L11" s="30" t="n">
        <x:v>0.5063291139240507</x:v>
      </x:c>
      <x:c r="M11" s="30" t="n">
        <x:v>0.010741138560687433</x:v>
      </x:c>
      <x:c r="N11" s="25" t="n">
        <x:v>0.02103602419142782</x:v>
      </x:c>
      <x:c r="O11" s="25" t="n">
        <x:v>0.9192880525505669</x:v>
      </x:c>
      <x:c r="P11" s="28" t="n">
        <x:v>84728</x:v>
      </x:c>
      <x:c r="Q11" s="28" t="n">
        <x:v>78</x:v>
      </x:c>
      <x:c r="R11" s="28" t="n">
        <x:v>7368</x:v>
      </x:c>
      <x:c r="S11" s="28" t="n">
        <x:v>80</x:v>
      </x:c>
    </x:row>
    <x:row r="12" ht="19" customHeight="1">
      <x:c r="A12" s="25" t="str">
        <x:v>LGBM_Final_Calibrated</x:v>
      </x:c>
      <x:c r="B12" s="25" t="str">
        <x:v>policy_KS</x:v>
      </x:c>
      <x:c r="C12" s="28" t="n">
        <x:v>92254</x:v>
      </x:c>
      <x:c r="D12" s="30" t="n">
        <x:v>0.08073362672621241</x:v>
      </x:c>
      <x:c r="E12" s="25" t="n">
        <x:v>0.7335582028337222</x:v>
      </x:c>
      <x:c r="F12" s="25" t="n">
        <x:v>0.3470210571962399</x:v>
      </x:c>
      <x:c r="G12" s="25" t="n">
        <x:v>0.4671164056674444</x:v>
      </x:c>
      <x:c r="H12" s="30" t="n">
        <x:v>0.21425576701358426</x:v>
      </x:c>
      <x:c r="I12" s="25" t="n">
        <x:v>0.06925869513621379</x:v>
      </x:c>
      <x:c r="J12" s="25" t="n">
        <x:v>0.2528546031688551</x:v>
      </x:c>
      <x:c r="K12" s="25" t="n">
        <x:v>0.0881330002791406</x:v>
      </x:c>
      <x:c r="L12" s="30" t="n">
        <x:v>0.1647182689514958</x:v>
      </x:c>
      <x:c r="M12" s="30" t="n">
        <x:v>0.609156820622986</x:v>
      </x:c>
      <x:c r="N12" s="25" t="n">
        <x:v>0.2593164151806127</x:v>
      </x:c>
      <x:c r="O12" s="25" t="n">
        <x:v>0.719058252216706</x:v>
      </x:c>
      <x:c r="P12" s="28" t="n">
        <x:v>61799</x:v>
      </x:c>
      <x:c r="Q12" s="28" t="n">
        <x:v>23007</x:v>
      </x:c>
      <x:c r="R12" s="28" t="n">
        <x:v>2911</x:v>
      </x:c>
      <x:c r="S12" s="28" t="n">
        <x:v>4537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02278228d15d457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6" hidden="0" customWidth="1"/>
    <x:col min="11" max="11" width="36" hidden="0" customWidth="1"/>
    <x:col min="12" max="12" width="18" hidden="0" customWidth="1"/>
  </x:cols>
  <x:sheetData>
    <x:row r="1" ht="27" customHeight="1">
      <x:c r="A1" s="12" t="str">
        <x:v>WOE分箱 | 最终拟合+调参集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 ht="32" customHeight="1">
      <x:c r="A2" s="15" t="str">
        <x:v>来源：outputs/phase2/woe_bins_refit.csv；每箱定义、样本数、WOE/IV；不是测试集拟合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4" ht="42" customHeight="1">
      <x:c r="A4" s="20" t="str">
        <x:v>bin</x:v>
      </x:c>
      <x:c r="B4" s="20" t="str">
        <x:v>n</x:v>
      </x:c>
      <x:c r="C4" s="20" t="str">
        <x:v>bad</x:v>
      </x:c>
      <x:c r="D4" s="20" t="str">
        <x:v>good</x:v>
      </x:c>
      <x:c r="E4" s="20" t="str">
        <x:v>dist_good</x:v>
      </x:c>
      <x:c r="F4" s="20" t="str">
        <x:v>dist_bad</x:v>
      </x:c>
      <x:c r="G4" s="20" t="str">
        <x:v>woe</x:v>
      </x:c>
      <x:c r="H4" s="20" t="str">
        <x:v>iv_bin</x:v>
      </x:c>
      <x:c r="I4" s="20" t="str">
        <x:v>target_rate</x:v>
      </x:c>
      <x:c r="J4" s="20" t="str">
        <x:v>feature</x:v>
      </x:c>
      <x:c r="K4" s="20" t="str">
        <x:v>bin_definition</x:v>
      </x:c>
      <x:c r="L4" s="20" t="str">
        <x:v>small_cell</x:v>
      </x:c>
    </x:row>
    <x:row r="5" ht="19" customHeight="1">
      <x:c r="A5" s="25" t="str">
        <x:v>Cash loans</x:v>
      </x:c>
      <x:c r="B5" s="28" t="n">
        <x:v>165380</x:v>
      </x:c>
      <x:c r="C5" s="25" t="n">
        <x:v>13789</x:v>
      </x:c>
      <x:c r="D5" s="25" t="n">
        <x:v>151591</x:v>
      </x:c>
      <x:c r="E5" s="25" t="n">
        <x:v>0.9012681482538437</x:v>
      </x:c>
      <x:c r="F5" s="25" t="n">
        <x:v>0.9334890333062551</x:v>
      </x:c>
      <x:c r="G5" s="25" t="n">
        <x:v>-0.03512638982641278</x:v>
      </x:c>
      <x:c r="H5" s="25" t="n">
        <x:v>0.0011318033689030388</x:v>
      </x:c>
      <x:c r="I5" s="30" t="n">
        <x:v>0.08337767565606483</x:v>
      </x:c>
      <x:c r="J5" s="25" t="str">
        <x:v>NAME_CONTRACT_TYPE</x:v>
      </x:c>
      <x:c r="K5" s="25" t="str">
        <x:v>Cash loans</x:v>
      </x:c>
      <x:c r="L5" s="35" t="b">
        <x:v>0</x:v>
      </x:c>
    </x:row>
    <x:row r="6" ht="19" customHeight="1">
      <x:c r="A6" s="25" t="str">
        <x:v>Revolving loans</x:v>
      </x:c>
      <x:c r="B6" s="28" t="n">
        <x:v>17588</x:v>
      </x:c>
      <x:c r="C6" s="25" t="n">
        <x:v>982</x:v>
      </x:c>
      <x:c r="D6" s="25" t="n">
        <x:v>16606</x:v>
      </x:c>
      <x:c r="E6" s="25" t="n">
        <x:v>0.09873185174615631</x:v>
      </x:c>
      <x:c r="F6" s="25" t="n">
        <x:v>0.06651096669374493</x:v>
      </x:c>
      <x:c r="G6" s="25" t="n">
        <x:v>0.3950407603527986</x:v>
      </x:c>
      <x:c r="H6" s="25" t="n">
        <x:v>0.012728562930344717</x:v>
      </x:c>
      <x:c r="I6" s="30" t="n">
        <x:v>0.05583352285649306</x:v>
      </x:c>
      <x:c r="J6" s="25" t="str">
        <x:v>NAME_CONTRACT_TYPE</x:v>
      </x:c>
      <x:c r="K6" s="25" t="str">
        <x:v>Revolving loans</x:v>
      </x:c>
      <x:c r="L6" s="35" t="b">
        <x:v>0</x:v>
      </x:c>
    </x:row>
    <x:row r="7" ht="19" customHeight="1">
      <x:c r="A7" s="25" t="str">
        <x:v>N</x:v>
      </x:c>
      <x:c r="B7" s="28" t="n">
        <x:v>120824</x:v>
      </x:c>
      <x:c r="C7" s="25" t="n">
        <x:v>10269</x:v>
      </x:c>
      <x:c r="D7" s="25" t="n">
        <x:v>110555</x:v>
      </x:c>
      <x:c r="E7" s="25" t="n">
        <x:v>0.6572937847061202</x:v>
      </x:c>
      <x:c r="F7" s="25" t="n">
        <x:v>0.6952003790955863</x:v>
      </x:c>
      <x:c r="G7" s="25" t="n">
        <x:v>-0.056069039825298185</x:v>
      </x:c>
      <x:c r="H7" s="25" t="n">
        <x:v>0.0021253863504643988</x:v>
      </x:c>
      <x:c r="I7" s="30" t="n">
        <x:v>0.08499139243858836</x:v>
      </x:c>
      <x:c r="J7" s="25" t="str">
        <x:v>FLAG_OWN_CAR</x:v>
      </x:c>
      <x:c r="K7" s="25" t="str">
        <x:v>N</x:v>
      </x:c>
      <x:c r="L7" s="35" t="b">
        <x:v>0</x:v>
      </x:c>
    </x:row>
    <x:row r="8" ht="19" customHeight="1">
      <x:c r="A8" s="25" t="str">
        <x:v>Y</x:v>
      </x:c>
      <x:c r="B8" s="28" t="n">
        <x:v>62144</x:v>
      </x:c>
      <x:c r="C8" s="25" t="n">
        <x:v>4502</x:v>
      </x:c>
      <x:c r="D8" s="25" t="n">
        <x:v>57642</x:v>
      </x:c>
      <x:c r="E8" s="25" t="n">
        <x:v>0.34270621529387985</x:v>
      </x:c>
      <x:c r="F8" s="25" t="n">
        <x:v>0.30479962090441376</x:v>
      </x:c>
      <x:c r="G8" s="25" t="n">
        <x:v>0.1172189849092411</x:v>
      </x:c>
      <x:c r="H8" s="25" t="n">
        <x:v>0.004443372515699548</x:v>
      </x:c>
      <x:c r="I8" s="30" t="n">
        <x:v>0.0724446446961895</x:v>
      </x:c>
      <x:c r="J8" s="25" t="str">
        <x:v>FLAG_OWN_CAR</x:v>
      </x:c>
      <x:c r="K8" s="25" t="str">
        <x:v>Y</x:v>
      </x:c>
      <x:c r="L8" s="35" t="b">
        <x:v>0</x:v>
      </x:c>
    </x:row>
    <x:row r="9" ht="19" customHeight="1">
      <x:c r="A9" s="25" t="str">
        <x:v>N</x:v>
      </x:c>
      <x:c r="B9" s="28" t="n">
        <x:v>55877</x:v>
      </x:c>
      <x:c r="C9" s="25" t="n">
        <x:v>4589</x:v>
      </x:c>
      <x:c r="D9" s="25" t="n">
        <x:v>51288</x:v>
      </x:c>
      <x:c r="E9" s="25" t="n">
        <x:v>0.3049293095042747</x:v>
      </x:c>
      <x:c r="F9" s="25" t="n">
        <x:v>0.31068914161927974</x:v>
      </x:c>
      <x:c r="G9" s="25" t="n">
        <x:v>-0.01871289004185747</x:v>
      </x:c>
      <x:c r="H9" s="25" t="n">
        <x:v>0.00010778310502764841</x:v>
      </x:c>
      <x:c r="I9" s="30" t="n">
        <x:v>0.08212681425273369</x:v>
      </x:c>
      <x:c r="J9" s="25" t="str">
        <x:v>FLAG_OWN_REALTY</x:v>
      </x:c>
      <x:c r="K9" s="25" t="str">
        <x:v>N</x:v>
      </x:c>
      <x:c r="L9" s="35" t="b">
        <x:v>0</x:v>
      </x:c>
    </x:row>
    <x:row r="10" ht="19" customHeight="1">
      <x:c r="A10" s="25" t="str">
        <x:v>Y</x:v>
      </x:c>
      <x:c r="B10" s="28" t="n">
        <x:v>127091</x:v>
      </x:c>
      <x:c r="C10" s="25" t="n">
        <x:v>10182</x:v>
      </x:c>
      <x:c r="D10" s="25" t="n">
        <x:v>116909</x:v>
      </x:c>
      <x:c r="E10" s="25" t="n">
        <x:v>0.6950706904957252</x:v>
      </x:c>
      <x:c r="F10" s="25" t="n">
        <x:v>0.6893108583807203</x:v>
      </x:c>
      <x:c r="G10" s="25" t="n">
        <x:v>0.00832121080362019</x:v>
      </x:c>
      <x:c r="H10" s="25" t="n">
        <x:v>0.00004792877722241789</x:v>
      </x:c>
      <x:c r="I10" s="30" t="n">
        <x:v>0.08011582252087088</x:v>
      </x:c>
      <x:c r="J10" s="25" t="str">
        <x:v>FLAG_OWN_REALTY</x:v>
      </x:c>
      <x:c r="K10" s="25" t="str">
        <x:v>Y</x:v>
      </x:c>
      <x:c r="L10" s="35" t="b">
        <x:v>0</x:v>
      </x:c>
    </x:row>
    <x:row r="11" ht="19" customHeight="1">
      <x:c r="A11" s="25" t="str">
        <x:v>B0</x:v>
      </x:c>
      <x:c r="B11" s="28" t="n">
        <x:v>37842</x:v>
      </x:c>
      <x:c r="C11" s="25" t="n">
        <x:v>3125</x:v>
      </x:c>
      <x:c r="D11" s="25" t="n">
        <x:v>34717</x:v>
      </x:c>
      <x:c r="E11" s="25" t="n">
        <x:v>0.2064066777844167</x:v>
      </x:c>
      <x:c r="F11" s="25" t="n">
        <x:v>0.21156124141198768</x:v>
      </x:c>
      <x:c r="G11" s="25" t="n">
        <x:v>-0.02466612738542623</x:v>
      </x:c>
      <x:c r="H11" s="25" t="n">
        <x:v>0.00012714312305395022</x:v>
      </x:c>
      <x:c r="I11" s="30" t="n">
        <x:v>0.08258020189207758</x:v>
      </x:c>
      <x:c r="J11" s="25" t="str">
        <x:v>AMT_INCOME_TOTAL</x:v>
      </x:c>
      <x:c r="K11" s="25" t="str">
        <x:v>(-inf, 99000]</x:v>
      </x:c>
      <x:c r="L11" s="35" t="b">
        <x:v>0</x:v>
      </x:c>
    </x:row>
    <x:row r="12" ht="19" customHeight="1">
      <x:c r="A12" s="25" t="str">
        <x:v>B1</x:v>
      </x:c>
      <x:c r="B12" s="28" t="n">
        <x:v>50802</x:v>
      </x:c>
      <x:c r="C12" s="25" t="n">
        <x:v>4375</x:v>
      </x:c>
      <x:c r="D12" s="25" t="n">
        <x:v>46427</x:v>
      </x:c>
      <x:c r="E12" s="25" t="n">
        <x:v>0.27602638533408247</x:v>
      </x:c>
      <x:c r="F12" s="25" t="n">
        <x:v>0.29617220022337293</x:v>
      </x:c>
      <x:c r="G12" s="25" t="n">
        <x:v>-0.07044458249577215</x:v>
      </x:c>
      <x:c r="H12" s="25" t="n">
        <x:v>0.0014191635189131767</x:v>
      </x:c>
      <x:c r="I12" s="30" t="n">
        <x:v>0.08611865674579741</x:v>
      </x:c>
      <x:c r="J12" s="25" t="str">
        <x:v>AMT_INCOME_TOTAL</x:v>
      </x:c>
      <x:c r="K12" s="25" t="str">
        <x:v>(99000, 135000]</x:v>
      </x:c>
      <x:c r="L12" s="35" t="b">
        <x:v>0</x:v>
      </x:c>
    </x:row>
    <x:row r="13" ht="19" customHeight="1">
      <x:c r="A13" s="25" t="str">
        <x:v>B2</x:v>
      </x:c>
      <x:c r="B13" s="28" t="n">
        <x:v>21250</x:v>
      </x:c>
      <x:c r="C13" s="25" t="n">
        <x:v>1831</x:v>
      </x:c>
      <x:c r="D13" s="25" t="n">
        <x:v>19419</x:v>
      </x:c>
      <x:c r="E13" s="25" t="n">
        <x:v>0.11545515890356392</x:v>
      </x:c>
      <x:c r="F13" s="25" t="n">
        <x:v>0.12397197685044167</x:v>
      </x:c>
      <x:c r="G13" s="25" t="n">
        <x:v>-0.0711733269450335</x:v>
      </x:c>
      <x:c r="H13" s="25" t="n">
        <x:v>0.0006061702682644593</x:v>
      </x:c>
      <x:c r="I13" s="30" t="n">
        <x:v>0.08616470588235293</x:v>
      </x:c>
      <x:c r="J13" s="25" t="str">
        <x:v>AMT_INCOME_TOTAL</x:v>
      </x:c>
      <x:c r="K13" s="25" t="str">
        <x:v>(135000, 162000]</x:v>
      </x:c>
      <x:c r="L13" s="35" t="b">
        <x:v>0</x:v>
      </x:c>
    </x:row>
    <x:row r="14" ht="19" customHeight="1">
      <x:c r="A14" s="25" t="str">
        <x:v>B3</x:v>
      </x:c>
      <x:c r="B14" s="28" t="n">
        <x:v>45037</x:v>
      </x:c>
      <x:c r="C14" s="25" t="n">
        <x:v>3632</x:v>
      </x:c>
      <x:c r="D14" s="25" t="n">
        <x:v>41405</x:v>
      </x:c>
      <x:c r="E14" s="25" t="n">
        <x:v>0.24616898385548114</x:v>
      </x:c>
      <x:c r="F14" s="25" t="n">
        <x:v>0.24587944630588554</x:v>
      </x:c>
      <x:c r="G14" s="25" t="n">
        <x:v>0.0011768661996074746</x:v>
      </x:c>
      <x:c r="H14" s="25" t="n">
        <x:v>3.407469556362317e-7</x:v>
      </x:c>
      <x:c r="I14" s="30" t="n">
        <x:v>0.0806448031618447</x:v>
      </x:c>
      <x:c r="J14" s="25" t="str">
        <x:v>AMT_INCOME_TOTAL</x:v>
      </x:c>
      <x:c r="K14" s="25" t="str">
        <x:v>(162000, 225000]</x:v>
      </x:c>
      <x:c r="L14" s="35" t="b">
        <x:v>0</x:v>
      </x:c>
    </x:row>
    <x:row r="15" ht="19" customHeight="1">
      <x:c r="A15" s="25" t="str">
        <x:v>B4</x:v>
      </x:c>
      <x:c r="B15" s="28" t="n">
        <x:v>28037</x:v>
      </x:c>
      <x:c r="C15" s="25" t="n">
        <x:v>1808</x:v>
      </x:c>
      <x:c r="D15" s="25" t="n">
        <x:v>26229</x:v>
      </x:c>
      <x:c r="E15" s="25" t="n">
        <x:v>0.15594279412245576</x:v>
      </x:c>
      <x:c r="F15" s="25" t="n">
        <x:v>0.12241513520831218</x:v>
      </x:c>
      <x:c r="G15" s="25" t="n">
        <x:v>0.2420712195574024</x:v>
      </x:c>
      <x:c r="H15" s="25" t="n">
        <x:v>0.008116081282251351</x:v>
      </x:c>
      <x:c r="I15" s="30" t="n">
        <x:v>0.06448621464493348</x:v>
      </x:c>
      <x:c r="J15" s="25" t="str">
        <x:v>AMT_INCOME_TOTAL</x:v>
      </x:c>
      <x:c r="K15" s="25" t="str">
        <x:v>(225000, inf]</x:v>
      </x:c>
      <x:c r="L15" s="35" t="b">
        <x:v>0</x:v>
      </x:c>
    </x:row>
    <x:row r="16" ht="19" customHeight="1">
      <x:c r="A16" s="25" t="str">
        <x:v>B0</x:v>
      </x:c>
      <x:c r="B16" s="28" t="n">
        <x:v>38739</x:v>
      </x:c>
      <x:c r="C16" s="25" t="n">
        <x:v>2786</x:v>
      </x:c>
      <x:c r="D16" s="25" t="n">
        <x:v>35953</x:v>
      </x:c>
      <x:c r="E16" s="25" t="n">
        <x:v>0.21375509439683232</x:v>
      </x:c>
      <x:c r="F16" s="25" t="n">
        <x:v>0.18861474938234</x:v>
      </x:c>
      <x:c r="G16" s="25" t="n">
        <x:v>0.12512436925446932</x:v>
      </x:c>
      <x:c r="H16" s="25" t="n">
        <x:v>0.0031456698127780955</x:v>
      </x:c>
      <x:c r="I16" s="30" t="n">
        <x:v>0.07191718939569942</x:v>
      </x:c>
      <x:c r="J16" s="25" t="str">
        <x:v>AMT_CREDIT</x:v>
      </x:c>
      <x:c r="K16" s="25" t="str">
        <x:v>(-inf, 254700]</x:v>
      </x:c>
      <x:c r="L16" s="35" t="b">
        <x:v>0</x:v>
      </x:c>
    </x:row>
    <x:row r="17" ht="19" customHeight="1">
      <x:c r="A17" s="25" t="str">
        <x:v>B1</x:v>
      </x:c>
      <x:c r="B17" s="28" t="n">
        <x:v>34465</x:v>
      </x:c>
      <x:c r="C17" s="25" t="n">
        <x:v>3188</x:v>
      </x:c>
      <x:c r="D17" s="25" t="n">
        <x:v>31277</x:v>
      </x:c>
      <x:c r="E17" s="25" t="n">
        <x:v>0.1859547739440367</x:v>
      </x:c>
      <x:c r="F17" s="25" t="n">
        <x:v>0.2158256337360815</x:v>
      </x:c>
      <x:c r="G17" s="25" t="n">
        <x:v>-0.1489673371508656</x:v>
      </x:c>
      <x:c r="H17" s="25" t="n">
        <x:v>0.004449782441627772</x:v>
      </x:c>
      <x:c r="I17" s="30" t="n">
        <x:v>0.09249963731321631</x:v>
      </x:c>
      <x:c r="J17" s="25" t="str">
        <x:v>AMT_CREDIT</x:v>
      </x:c>
      <x:c r="K17" s="25" t="str">
        <x:v>(254700, 431280]</x:v>
      </x:c>
      <x:c r="L17" s="35" t="b">
        <x:v>0</x:v>
      </x:c>
    </x:row>
    <x:row r="18" ht="19" customHeight="1">
      <x:c r="A18" s="25" t="str">
        <x:v>B2</x:v>
      </x:c>
      <x:c r="B18" s="28" t="n">
        <x:v>36713</x:v>
      </x:c>
      <x:c r="C18" s="25" t="n">
        <x:v>3718</x:v>
      </x:c>
      <x:c r="D18" s="25" t="n">
        <x:v>32995</x:v>
      </x:c>
      <x:c r="E18" s="25" t="n">
        <x:v>0.19616883522245904</x:v>
      </x:c>
      <x:c r="F18" s="25" t="n">
        <x:v>0.25170068027210885</x:v>
      </x:c>
      <x:c r="G18" s="25" t="n">
        <x:v>-0.24926491221656163</x:v>
      </x:c>
      <x:c r="H18" s="25" t="n">
        <x:v>0.013842140481524661</x:v>
      </x:c>
      <x:c r="I18" s="30" t="n">
        <x:v>0.10127202898155967</x:v>
      </x:c>
      <x:c r="J18" s="25" t="str">
        <x:v>AMT_CREDIT</x:v>
      </x:c>
      <x:c r="K18" s="25" t="str">
        <x:v>(431280, 604152]</x:v>
      </x:c>
      <x:c r="L18" s="35" t="b">
        <x:v>0</x:v>
      </x:c>
    </x:row>
    <x:row r="19" ht="19" customHeight="1">
      <x:c r="A19" s="25" t="str">
        <x:v>B3</x:v>
      </x:c>
      <x:c r="B19" s="28" t="n">
        <x:v>38139</x:v>
      </x:c>
      <x:c r="C19" s="25" t="n">
        <x:v>2988</x:v>
      </x:c>
      <x:c r="D19" s="25" t="n">
        <x:v>35151</x:v>
      </x:c>
      <x:c r="E19" s="25" t="n">
        <x:v>0.20898694704799956</x:v>
      </x:c>
      <x:c r="F19" s="25" t="n">
        <x:v>0.20228788032625986</x:v>
      </x:c>
      <x:c r="G19" s="25" t="n">
        <x:v>0.03257996273008832</x:v>
      </x:c>
      <x:c r="H19" s="25" t="n">
        <x:v>0.00021825534412065435</x:v>
      </x:c>
      <x:c r="I19" s="30" t="n">
        <x:v>0.0783450011798946</x:v>
      </x:c>
      <x:c r="J19" s="25" t="str">
        <x:v>AMT_CREDIT</x:v>
      </x:c>
      <x:c r="K19" s="25" t="str">
        <x:v>(604152, 900000]</x:v>
      </x:c>
      <x:c r="L19" s="35" t="b">
        <x:v>0</x:v>
      </x:c>
    </x:row>
    <x:row r="20" ht="19" customHeight="1">
      <x:c r="A20" s="25" t="str">
        <x:v>B4</x:v>
      </x:c>
      <x:c r="B20" s="28" t="n">
        <x:v>34912</x:v>
      </x:c>
      <x:c r="C20" s="25" t="n">
        <x:v>2091</x:v>
      </x:c>
      <x:c r="D20" s="25" t="n">
        <x:v>32821</x:v>
      </x:c>
      <x:c r="E20" s="25" t="n">
        <x:v>0.19513434938867238</x:v>
      </x:c>
      <x:c r="F20" s="25" t="n">
        <x:v>0.1415710562832098</x:v>
      </x:c>
      <x:c r="G20" s="25" t="n">
        <x:v>0.3208865369694683</x:v>
      </x:c>
      <x:c r="H20" s="25" t="n">
        <x:v>0.01718773963329249</x:v>
      </x:c>
      <x:c r="I20" s="30" t="n">
        <x:v>0.059893446379468376</x:v>
      </x:c>
      <x:c r="J20" s="25" t="str">
        <x:v>AMT_CREDIT</x:v>
      </x:c>
      <x:c r="K20" s="25" t="str">
        <x:v>(900000, inf]</x:v>
      </x:c>
      <x:c r="L20" s="35" t="b">
        <x:v>0</x:v>
      </x:c>
    </x:row>
    <x:row r="21" ht="19" customHeight="1">
      <x:c r="A21" s="25" t="str">
        <x:v>B0</x:v>
      </x:c>
      <x:c r="B21" s="28" t="n">
        <x:v>36598</x:v>
      </x:c>
      <x:c r="C21" s="25" t="n">
        <x:v>2555</x:v>
      </x:c>
      <x:c r="D21" s="25" t="n">
        <x:v>34043</x:v>
      </x:c>
      <x:c r="E21" s="25" t="n">
        <x:v>0.20239953150871434</x:v>
      </x:c>
      <x:c r="F21" s="25" t="n">
        <x:v>0.172978644193996</x:v>
      </x:c>
      <x:c r="G21" s="25" t="n">
        <x:v>0.1570754798177619</x:v>
      </x:c>
      <x:c r="H21" s="25" t="n">
        <x:v>0.004621299991623688</x:v>
      </x:c>
      <x:c r="I21" s="30" t="n">
        <x:v>0.06981255806328214</x:v>
      </x:c>
      <x:c r="J21" s="25" t="str">
        <x:v>AMT_ANNUITY</x:v>
      </x:c>
      <x:c r="K21" s="25" t="str">
        <x:v>(-inf, 14670]</x:v>
      </x:c>
      <x:c r="L21" s="35" t="b">
        <x:v>0</x:v>
      </x:c>
    </x:row>
    <x:row r="22" ht="19" customHeight="1">
      <x:c r="A22" s="25" t="str">
        <x:v>B1</x:v>
      </x:c>
      <x:c r="B22" s="28" t="n">
        <x:v>36604</x:v>
      </x:c>
      <x:c r="C22" s="25" t="n">
        <x:v>3142</x:v>
      </x:c>
      <x:c r="D22" s="25" t="n">
        <x:v>33462</x:v>
      </x:c>
      <x:c r="E22" s="25" t="n">
        <x:v>0.1989453000752083</x:v>
      </x:c>
      <x:c r="F22" s="25" t="n">
        <x:v>0.2127119504518225</x:v>
      </x:c>
      <x:c r="G22" s="25" t="n">
        <x:v>-0.0669089922228889</x:v>
      </x:c>
      <x:c r="H22" s="25" t="n">
        <x:v>0.0009211127029841103</x:v>
      </x:c>
      <x:c r="I22" s="30" t="n">
        <x:v>0.08583761337558737</x:v>
      </x:c>
      <x:c r="J22" s="25" t="str">
        <x:v>AMT_ANNUITY</x:v>
      </x:c>
      <x:c r="K22" s="25" t="str">
        <x:v>(14670, 21847.5]</x:v>
      </x:c>
      <x:c r="L22" s="35" t="b">
        <x:v>0</x:v>
      </x:c>
    </x:row>
    <x:row r="23" ht="19" customHeight="1">
      <x:c r="A23" s="25" t="str">
        <x:v>B2</x:v>
      </x:c>
      <x:c r="B23" s="28" t="n">
        <x:v>36589</x:v>
      </x:c>
      <x:c r="C23" s="25" t="n">
        <x:v>3247</x:v>
      </x:c>
      <x:c r="D23" s="25" t="n">
        <x:v>33342</x:v>
      </x:c>
      <x:c r="E23" s="25" t="n">
        <x:v>0.19823186156914854</x:v>
      </x:c>
      <x:c r="F23" s="25" t="n">
        <x:v>0.21981927099197887</x:v>
      </x:c>
      <x:c r="G23" s="25" t="n">
        <x:v>-0.10336834963529941</x:v>
      </x:c>
      <x:c r="H23" s="25" t="n">
        <x:v>0.0022314548849394823</x:v>
      </x:c>
      <x:c r="I23" s="30" t="n">
        <x:v>0.08874251824318784</x:v>
      </x:c>
      <x:c r="J23" s="25" t="str">
        <x:v>AMT_ANNUITY</x:v>
      </x:c>
      <x:c r="K23" s="25" t="str">
        <x:v>(21847.5, 27967.5]</x:v>
      </x:c>
      <x:c r="L23" s="35" t="b">
        <x:v>0</x:v>
      </x:c>
    </x:row>
    <x:row r="24" ht="19" customHeight="1">
      <x:c r="A24" s="25" t="str">
        <x:v>B3</x:v>
      </x:c>
      <x:c r="B24" s="28" t="n">
        <x:v>36592</x:v>
      </x:c>
      <x:c r="C24" s="25" t="n">
        <x:v>3379</x:v>
      </x:c>
      <x:c r="D24" s="25" t="n">
        <x:v>33213</x:v>
      </x:c>
      <x:c r="E24" s="25" t="n">
        <x:v>0.1974649151751343</x:v>
      </x:c>
      <x:c r="F24" s="25" t="n">
        <x:v>0.22875418824246116</x:v>
      </x:c>
      <x:c r="G24" s="25" t="n">
        <x:v>-0.14708708936705253</x:v>
      </x:c>
      <x:c r="H24" s="25" t="n">
        <x:v>0.0046022481038840175</x:v>
      </x:c>
      <x:c r="I24" s="30" t="n">
        <x:v>0.09234258854394403</x:v>
      </x:c>
      <x:c r="J24" s="25" t="str">
        <x:v>AMT_ANNUITY</x:v>
      </x:c>
      <x:c r="K24" s="25" t="str">
        <x:v>(27967.5, 37390.5]</x:v>
      </x:c>
      <x:c r="L24" s="35" t="b">
        <x:v>0</x:v>
      </x:c>
    </x:row>
    <x:row r="25" ht="19" customHeight="1">
      <x:c r="A25" s="25" t="str">
        <x:v>B4</x:v>
      </x:c>
      <x:c r="B25" s="28" t="n">
        <x:v>36585</x:v>
      </x:c>
      <x:c r="C25" s="25" t="n">
        <x:v>2448</x:v>
      </x:c>
      <x:c r="D25" s="25" t="n">
        <x:v>34137</x:v>
      </x:c>
      <x:c r="E25" s="25" t="n">
        <x:v>0.2029583916717945</x:v>
      </x:c>
      <x:c r="F25" s="25" t="n">
        <x:v>0.16573594611974143</x:v>
      </x:c>
      <x:c r="G25" s="25" t="n">
        <x:v>0.2026051550524938</x:v>
      </x:c>
      <x:c r="H25" s="25" t="n">
        <x:v>0.007541459352506719</x:v>
      </x:c>
      <x:c r="I25" s="30" t="n">
        <x:v>0.06691266912669126</x:v>
      </x:c>
      <x:c r="J25" s="25" t="str">
        <x:v>AMT_ANNUITY</x:v>
      </x:c>
      <x:c r="K25" s="25" t="str">
        <x:v>(37390.5, inf]</x:v>
      </x:c>
      <x:c r="L25" s="35" t="b">
        <x:v>0</x:v>
      </x:c>
    </x:row>
    <x:row r="26" ht="19" customHeight="1">
      <x:c r="A26" s="25" t="str">
        <x:v>B0</x:v>
      </x:c>
      <x:c r="B26" s="28" t="n">
        <x:v>42608</x:v>
      </x:c>
      <x:c r="C26" s="25" t="n">
        <x:v>3388</x:v>
      </x:c>
      <x:c r="D26" s="25" t="n">
        <x:v>39220</x:v>
      </x:c>
      <x:c r="E26" s="25" t="n">
        <x:v>0.23317845772430953</x:v>
      </x:c>
      <x:c r="F26" s="25" t="n">
        <x:v>0.22936338714590312</x:v>
      </x:c>
      <x:c r="G26" s="25" t="n">
        <x:v>0.016496484103466966</x:v>
      </x:c>
      <x:c r="H26" s="25" t="n">
        <x:v>0.00006293525115028586</x:v>
      </x:c>
      <x:c r="I26" s="30" t="n">
        <x:v>0.07951558392790087</x:v>
      </x:c>
      <x:c r="J26" s="25" t="str">
        <x:v>AMT_GOODS_PRICE</x:v>
      </x:c>
      <x:c r="K26" s="25" t="str">
        <x:v>(-inf, 225000]</x:v>
      </x:c>
      <x:c r="L26" s="35" t="b">
        <x:v>0</x:v>
      </x:c>
    </x:row>
    <x:row r="27" ht="19" customHeight="1">
      <x:c r="A27" s="25" t="str">
        <x:v>B1</x:v>
      </x:c>
      <x:c r="B27" s="28" t="n">
        <x:v>30637</x:v>
      </x:c>
      <x:c r="C27" s="25" t="n">
        <x:v>2725</x:v>
      </x:c>
      <x:c r="D27" s="25" t="n">
        <x:v>27912</x:v>
      </x:c>
      <x:c r="E27" s="25" t="n">
        <x:v>0.16594876916994403</x:v>
      </x:c>
      <x:c r="F27" s="25" t="n">
        <x:v>0.1844857345923444</x:v>
      </x:c>
      <x:c r="G27" s="25" t="n">
        <x:v>-0.10589301994301671</x:v>
      </x:c>
      <x:c r="H27" s="25" t="n">
        <x:v>0.0019629352491572546</x:v>
      </x:c>
      <x:c r="I27" s="30" t="n">
        <x:v>0.08894474002023697</x:v>
      </x:c>
      <x:c r="J27" s="25" t="str">
        <x:v>AMT_GOODS_PRICE</x:v>
      </x:c>
      <x:c r="K27" s="25" t="str">
        <x:v>(225000, 373500]</x:v>
      </x:c>
      <x:c r="L27" s="35" t="b">
        <x:v>0</x:v>
      </x:c>
    </x:row>
    <x:row r="28" ht="19" customHeight="1">
      <x:c r="A28" s="25" t="str">
        <x:v>B2</x:v>
      </x:c>
      <x:c r="B28" s="28" t="n">
        <x:v>36556</x:v>
      </x:c>
      <x:c r="C28" s="25" t="n">
        <x:v>3828</x:v>
      </x:c>
      <x:c r="D28" s="25" t="n">
        <x:v>32728</x:v>
      </x:c>
      <x:c r="E28" s="25" t="n">
        <x:v>0.19458143454647606</x:v>
      </x:c>
      <x:c r="F28" s="25" t="n">
        <x:v>0.25914644464751074</x:v>
      </x:c>
      <x:c r="G28" s="25" t="n">
        <x:v>-0.28654256320945787</x:v>
      </x:c>
      <x:c r="H28" s="25" t="n">
        <x:v>0.018500623487995017</x:v>
      </x:c>
      <x:c r="I28" s="30" t="n">
        <x:v>0.10471605208447314</x:v>
      </x:c>
      <x:c r="J28" s="25" t="str">
        <x:v>AMT_GOODS_PRICE</x:v>
      </x:c>
      <x:c r="K28" s="25" t="str">
        <x:v>(373500, 517500]</x:v>
      </x:c>
      <x:c r="L28" s="35" t="b">
        <x:v>0</x:v>
      </x:c>
    </x:row>
    <x:row r="29" ht="19" customHeight="1">
      <x:c r="A29" s="25" t="str">
        <x:v>B3</x:v>
      </x:c>
      <x:c r="B29" s="28" t="n">
        <x:v>36597</x:v>
      </x:c>
      <x:c r="C29" s="25" t="n">
        <x:v>2773</x:v>
      </x:c>
      <x:c r="D29" s="25" t="n">
        <x:v>33824</x:v>
      </x:c>
      <x:c r="E29" s="25" t="n">
        <x:v>0.20109750623515527</x:v>
      </x:c>
      <x:c r="F29" s="25" t="n">
        <x:v>0.1877347954107016</x:v>
      </x:c>
      <x:c r="G29" s="25" t="n">
        <x:v>0.0687595918813493</x:v>
      </x:c>
      <x:c r="H29" s="25" t="n">
        <x:v>0.000918814542717923</x:v>
      </x:c>
      <x:c r="I29" s="30" t="n">
        <x:v>0.075771238079624</x:v>
      </x:c>
      <x:c r="J29" s="25" t="str">
        <x:v>AMT_GOODS_PRICE</x:v>
      </x:c>
      <x:c r="K29" s="25" t="str">
        <x:v>(517500, 810000]</x:v>
      </x:c>
      <x:c r="L29" s="35" t="b">
        <x:v>0</x:v>
      </x:c>
    </x:row>
    <x:row r="30" ht="19" customHeight="1">
      <x:c r="A30" s="25" t="str">
        <x:v>B4</x:v>
      </x:c>
      <x:c r="B30" s="28" t="n">
        <x:v>36570</x:v>
      </x:c>
      <x:c r="C30" s="25" t="n">
        <x:v>2057</x:v>
      </x:c>
      <x:c r="D30" s="25" t="n">
        <x:v>34513</x:v>
      </x:c>
      <x:c r="E30" s="25" t="n">
        <x:v>0.20519383232411512</x:v>
      </x:c>
      <x:c r="F30" s="25" t="n">
        <x:v>0.13926963820354013</x:v>
      </x:c>
      <x:c r="G30" s="25" t="n">
        <x:v>0.3875431586893778</x:v>
      </x:c>
      <x:c r="H30" s="25" t="n">
        <x:v>0.025548470423539336</x:v>
      </x:c>
      <x:c r="I30" s="30" t="n">
        <x:v>0.05624829094886519</x:v>
      </x:c>
      <x:c r="J30" s="25" t="str">
        <x:v>AMT_GOODS_PRICE</x:v>
      </x:c>
      <x:c r="K30" s="25" t="str">
        <x:v>(810000, inf]</x:v>
      </x:c>
      <x:c r="L30" s="35" t="b">
        <x:v>0</x:v>
      </x:c>
    </x:row>
    <x:row r="31" ht="19" customHeight="1">
      <x:c r="A31" s="25" t="str">
        <x:v>Children</x:v>
      </x:c>
      <x:c r="B31" s="28" t="n">
        <x:v>1960</x:v>
      </x:c>
      <x:c r="C31" s="25" t="n">
        <x:v>150</x:v>
      </x:c>
      <x:c r="D31" s="25" t="n">
        <x:v>1810</x:v>
      </x:c>
      <x:c r="E31" s="25" t="n">
        <x:v>0.01076393946510266</x:v>
      </x:c>
      <x:c r="F31" s="25" t="n">
        <x:v>0.010186469931300552</x:v>
      </x:c>
      <x:c r="G31" s="25" t="n">
        <x:v>0.05514124660272837</x:v>
      </x:c>
      <x:c r="H31" s="25" t="n">
        <x:v>0.000031842389968944585</x:v>
      </x:c>
      <x:c r="I31" s="30" t="n">
        <x:v>0.07653061224489796</x:v>
      </x:c>
      <x:c r="J31" s="25" t="str">
        <x:v>NAME_TYPE_SUITE</x:v>
      </x:c>
      <x:c r="K31" s="25" t="str">
        <x:v>Children</x:v>
      </x:c>
      <x:c r="L31" s="35" t="b">
        <x:v>0</x:v>
      </x:c>
    </x:row>
    <x:row r="32" ht="19" customHeight="1">
      <x:c r="A32" s="25" t="str">
        <x:v>Family</x:v>
      </x:c>
      <x:c r="B32" s="28" t="n">
        <x:v>23904</x:v>
      </x:c>
      <x:c r="C32" s="25" t="n">
        <x:v>1758</x:v>
      </x:c>
      <x:c r="D32" s="25" t="n">
        <x:v>22146</x:v>
      </x:c>
      <x:c r="E32" s="25" t="n">
        <x:v>0.131667266149625</x:v>
      </x:c>
      <x:c r="F32" s="25" t="n">
        <x:v>0.11902264036007987</x:v>
      </x:c>
      <x:c r="G32" s="25" t="n">
        <x:v>0.1009642991157342</x:v>
      </x:c>
      <x:c r="H32" s="25" t="n">
        <x:v>0.0012766557804221627</x:v>
      </x:c>
      <x:c r="I32" s="30" t="n">
        <x:v>0.07354417670682731</x:v>
      </x:c>
      <x:c r="J32" s="25" t="str">
        <x:v>NAME_TYPE_SUITE</x:v>
      </x:c>
      <x:c r="K32" s="25" t="str">
        <x:v>Family</x:v>
      </x:c>
      <x:c r="L32" s="35" t="b">
        <x:v>0</x:v>
      </x:c>
    </x:row>
    <x:row r="33" ht="19" customHeight="1">
      <x:c r="A33" s="25" t="str">
        <x:v>Other_A</x:v>
      </x:c>
      <x:c r="B33" s="28" t="n">
        <x:v>540</x:v>
      </x:c>
      <x:c r="C33" s="25" t="n">
        <x:v>50</x:v>
      </x:c>
      <x:c r="D33" s="25" t="n">
        <x:v>490</x:v>
      </x:c>
      <x:c r="E33" s="25" t="n">
        <x:v>0.002916162555997158</x:v>
      </x:c>
      <x:c r="F33" s="25" t="n">
        <x:v>0.0034180513722968627</x:v>
      </x:c>
      <x:c r="G33" s="25" t="n">
        <x:v>-0.15880205568993333</x:v>
      </x:c>
      <x:c r="H33" s="25" t="n">
        <x:v>0.00007970097575618043</x:v>
      </x:c>
      <x:c r="I33" s="30" t="n">
        <x:v>0.09259259259259259</x:v>
      </x:c>
      <x:c r="J33" s="25" t="str">
        <x:v>NAME_TYPE_SUITE</x:v>
      </x:c>
      <x:c r="K33" s="25" t="str">
        <x:v>Other_A</x:v>
      </x:c>
      <x:c r="L33" s="35" t="b">
        <x:v>0</x:v>
      </x:c>
    </x:row>
    <x:row r="34" ht="19" customHeight="1">
      <x:c r="A34" s="25" t="str">
        <x:v>Other_B</x:v>
      </x:c>
      <x:c r="B34" s="28" t="n">
        <x:v>1070</x:v>
      </x:c>
      <x:c r="C34" s="25" t="n">
        <x:v>108</x:v>
      </x:c>
      <x:c r="D34" s="25" t="n">
        <x:v>962</x:v>
      </x:c>
      <x:c r="E34" s="25" t="n">
        <x:v>0.005722337329556095</x:v>
      </x:c>
      <x:c r="F34" s="25" t="n">
        <x:v>0.007343734136519002</x:v>
      </x:c>
      <x:c r="G34" s="25" t="n">
        <x:v>-0.2494701052326119</x:v>
      </x:c>
      <x:c r="H34" s="25" t="n">
        <x:v>0.0004044900320568573</x:v>
      </x:c>
      <x:c r="I34" s="30" t="n">
        <x:v>0.10093457943925234</x:v>
      </x:c>
      <x:c r="J34" s="25" t="str">
        <x:v>NAME_TYPE_SUITE</x:v>
      </x:c>
      <x:c r="K34" s="25" t="str">
        <x:v>Other_B</x:v>
      </x:c>
      <x:c r="L34" s="35" t="b">
        <x:v>0</x:v>
      </x:c>
    </x:row>
    <x:row r="35" ht="19" customHeight="1">
      <x:c r="A35" s="25" t="str">
        <x:v>Spouse, partner</x:v>
      </x:c>
      <x:c r="B35" s="28" t="n">
        <x:v>6722</x:v>
      </x:c>
      <x:c r="C35" s="25" t="n">
        <x:v>535</x:v>
      </x:c>
      <x:c r="D35" s="25" t="n">
        <x:v>6187</x:v>
      </x:c>
      <x:c r="E35" s="25" t="n">
        <x:v>0.03678645426143204</x:v>
      </x:c>
      <x:c r="F35" s="25" t="n">
        <x:v>0.03624488138346475</x:v>
      </x:c>
      <x:c r="G35" s="25" t="n">
        <x:v>0.014831518575105184</x:v>
      </x:c>
      <x:c r="H35" s="25" t="n">
        <x:v>0.00000803234819934498</x:v>
      </x:c>
      <x:c r="I35" s="30" t="n">
        <x:v>0.07958940791431121</x:v>
      </x:c>
      <x:c r="J35" s="25" t="str">
        <x:v>NAME_TYPE_SUITE</x:v>
      </x:c>
      <x:c r="K35" s="25" t="str">
        <x:v>Spouse, partner</x:v>
      </x:c>
      <x:c r="L35" s="35" t="b">
        <x:v>0</x:v>
      </x:c>
    </x:row>
    <x:row r="36" ht="19" customHeight="1">
      <x:c r="A36" s="25" t="str">
        <x:v>Unaccompanied</x:v>
      </x:c>
      <x:c r="B36" s="28" t="n">
        <x:v>148606</x:v>
      </x:c>
      <x:c r="C36" s="25" t="n">
        <x:v>12156</x:v>
      </x:c>
      <x:c r="D36" s="25" t="n">
        <x:v>136450</x:v>
      </x:c>
      <x:c r="E36" s="25" t="n">
        <x:v>0.8112371841938639</x:v>
      </x:c>
      <x:c r="F36" s="25" t="n">
        <x:v>0.8228028021252835</x:v>
      </x:c>
      <x:c r="G36" s="25" t="n">
        <x:v>-0.014156093080439875</x:v>
      </x:c>
      <x:c r="H36" s="25" t="n">
        <x:v>0.00016372396396997928</x:v>
      </x:c>
      <x:c r="I36" s="30" t="n">
        <x:v>0.08180019649273919</x:v>
      </x:c>
      <x:c r="J36" s="25" t="str">
        <x:v>NAME_TYPE_SUITE</x:v>
      </x:c>
      <x:c r="K36" s="25" t="str">
        <x:v>Unaccompanied</x:v>
      </x:c>
      <x:c r="L36" s="35" t="b">
        <x:v>0</x:v>
      </x:c>
    </x:row>
    <x:row r="37" ht="19" customHeight="1">
      <x:c r="A37" s="25" t="str">
        <x:v>__OTHER__</x:v>
      </x:c>
      <x:c r="B37" s="28" t="n">
        <x:v>166</x:v>
      </x:c>
      <x:c r="C37" s="25" t="n">
        <x:v>14</x:v>
      </x:c>
      <x:c r="D37" s="25" t="n">
        <x:v>152</x:v>
      </x:c>
      <x:c r="E37" s="25" t="n">
        <x:v>0.0009066560444231735</x:v>
      </x:c>
      <x:c r="F37" s="25" t="n">
        <x:v>0.0009814206910555348</x:v>
      </x:c>
      <x:c r="G37" s="25" t="n">
        <x:v>-0.07923805179309937</x:v>
      </x:c>
      <x:c r="H37" s="25" t="n">
        <x:v>0.0000059242049421478186</x:v>
      </x:c>
      <x:c r="I37" s="30" t="n">
        <x:v>0.08433734939759036</x:v>
      </x:c>
      <x:c r="J37" s="25" t="str">
        <x:v>NAME_TYPE_SUITE</x:v>
      </x:c>
      <x:c r="K37" s="25" t="str">
        <x:v>__OTHER__</x:v>
      </x:c>
      <x:c r="L37" s="35" t="b">
        <x:v>1</x:v>
      </x:c>
    </x:row>
    <x:row r="38" ht="19" customHeight="1">
      <x:c r="A38" s="25" t="str">
        <x:v>Commercial associate</x:v>
      </x:c>
      <x:c r="B38" s="28" t="n">
        <x:v>42698</x:v>
      </x:c>
      <x:c r="C38" s="25" t="n">
        <x:v>3231</x:v>
      </x:c>
      <x:c r="D38" s="25" t="n">
        <x:v>39467</x:v>
      </x:c>
      <x:c r="E38" s="25" t="n">
        <x:v>0.23464695198261587</x:v>
      </x:c>
      <x:c r="F38" s="25" t="n">
        <x:v>0.21873625071919314</x:v>
      </x:c>
      <x:c r="G38" s="25" t="n">
        <x:v>0.0702153831158373</x:v>
      </x:c>
      <x:c r="H38" s="25" t="n">
        <x:v>0.0011171759848528635</x:v>
      </x:c>
      <x:c r="I38" s="30" t="n">
        <x:v>0.07567099161553234</x:v>
      </x:c>
      <x:c r="J38" s="25" t="str">
        <x:v>NAME_INCOME_TYPE</x:v>
      </x:c>
      <x:c r="K38" s="25" t="str">
        <x:v>Commercial associate</x:v>
      </x:c>
      <x:c r="L38" s="35" t="b">
        <x:v>0</x:v>
      </x:c>
    </x:row>
    <x:row r="39" ht="19" customHeight="1">
      <x:c r="A39" s="25" t="str">
        <x:v>Pensioner</x:v>
      </x:c>
      <x:c r="B39" s="28" t="n">
        <x:v>32932</x:v>
      </x:c>
      <x:c r="C39" s="25" t="n">
        <x:v>1762</x:v>
      </x:c>
      <x:c r="D39" s="25" t="n">
        <x:v>31170</x:v>
      </x:c>
      <x:c r="E39" s="25" t="n">
        <x:v>0.18531862460946674</x:v>
      </x:c>
      <x:c r="F39" s="25" t="n">
        <x:v>0.1193014519240532</x:v>
      </x:c>
      <x:c r="G39" s="25" t="n">
        <x:v>0.440423139424335</x:v>
      </x:c>
      <x:c r="H39" s="25" t="n">
        <x:v>0.029075490450028288</x:v>
      </x:c>
      <x:c r="I39" s="30" t="n">
        <x:v>0.05350419045305478</x:v>
      </x:c>
      <x:c r="J39" s="25" t="str">
        <x:v>NAME_INCOME_TYPE</x:v>
      </x:c>
      <x:c r="K39" s="25" t="str">
        <x:v>Pensioner</x:v>
      </x:c>
      <x:c r="L39" s="35" t="b">
        <x:v>0</x:v>
      </x:c>
    </x:row>
    <x:row r="40" ht="19" customHeight="1">
      <x:c r="A40" s="25" t="str">
        <x:v>State servant</x:v>
      </x:c>
      <x:c r="B40" s="28" t="n">
        <x:v>13055</x:v>
      </x:c>
      <x:c r="C40" s="25" t="n">
        <x:v>792</x:v>
      </x:c>
      <x:c r="D40" s="25" t="n">
        <x:v>12263</x:v>
      </x:c>
      <x:c r="E40" s="25" t="n">
        <x:v>0.07291044265886641</x:v>
      </x:c>
      <x:c r="F40" s="25" t="n">
        <x:v>0.05364334788641825</x:v>
      </x:c>
      <x:c r="G40" s="25" t="n">
        <x:v>0.30687440464946136</x:v>
      </x:c>
      <x:c r="H40" s="25" t="n">
        <x:v>0.005912578237619778</x:v>
      </x:c>
      <x:c r="I40" s="30" t="n">
        <x:v>0.060666411336652626</x:v>
      </x:c>
      <x:c r="J40" s="25" t="str">
        <x:v>NAME_INCOME_TYPE</x:v>
      </x:c>
      <x:c r="K40" s="25" t="str">
        <x:v>State servant</x:v>
      </x:c>
      <x:c r="L40" s="35" t="b">
        <x:v>0</x:v>
      </x:c>
    </x:row>
    <x:row r="41" ht="19" customHeight="1">
      <x:c r="A41" s="25" t="str">
        <x:v>Working</x:v>
      </x:c>
      <x:c r="B41" s="28" t="n">
        <x:v>94254</x:v>
      </x:c>
      <x:c r="C41" s="25" t="n">
        <x:v>8982</x:v>
      </x:c>
      <x:c r="D41" s="25" t="n">
        <x:v>85272</x:v>
      </x:c>
      <x:c r="E41" s="25" t="n">
        <x:v>0.5069723750665133</x:v>
      </x:c>
      <x:c r="F41" s="25" t="n">
        <x:v>0.6080143500186144</x:v>
      </x:c>
      <x:c r="G41" s="25" t="n">
        <x:v>-0.18174196863353131</x:v>
      </x:c>
      <x:c r="H41" s="25" t="n">
        <x:v>0.018363567442414814</x:v>
      </x:c>
      <x:c r="I41" s="30" t="n">
        <x:v>0.09529569036857852</x:v>
      </x:c>
      <x:c r="J41" s="25" t="str">
        <x:v>NAME_INCOME_TYPE</x:v>
      </x:c>
      <x:c r="K41" s="25" t="str">
        <x:v>Working</x:v>
      </x:c>
      <x:c r="L41" s="35" t="b">
        <x:v>0</x:v>
      </x:c>
    </x:row>
    <x:row r="42" ht="19" customHeight="1">
      <x:c r="A42" s="25" t="str">
        <x:v>__OTHER__</x:v>
      </x:c>
      <x:c r="B42" s="28" t="n">
        <x:v>29</x:v>
      </x:c>
      <x:c r="C42" s="25" t="n">
        <x:v>4</x:v>
      </x:c>
      <x:c r="D42" s="25" t="n">
        <x:v>25</x:v>
      </x:c>
      <x:c r="E42" s="25" t="n">
        <x:v>0.00015160568253770078</x:v>
      </x:c>
      <x:c r="F42" s="25" t="n">
        <x:v>0.0003045994517209869</x:v>
      </x:c>
      <x:c r="G42" s="25" t="n">
        <x:v>-0.697714684198988</x:v>
      </x:c>
      <x:c r="H42" s="25" t="n">
        <x:v>0.00010674599935012934</x:v>
      </x:c>
      <x:c r="I42" s="30" t="n">
        <x:v>0.13793103448275862</x:v>
      </x:c>
      <x:c r="J42" s="25" t="str">
        <x:v>NAME_INCOME_TYPE</x:v>
      </x:c>
      <x:c r="K42" s="25" t="str">
        <x:v>__OTHER__</x:v>
      </x:c>
      <x:c r="L42" s="35" t="b">
        <x:v>1</x:v>
      </x:c>
    </x:row>
    <x:row r="43" ht="19" customHeight="1">
      <x:c r="A43" s="25" t="str">
        <x:v>Higher education</x:v>
      </x:c>
      <x:c r="B43" s="28" t="n">
        <x:v>44334</x:v>
      </x:c>
      <x:c r="C43" s="25" t="n">
        <x:v>2386</x:v>
      </x:c>
      <x:c r="D43" s="25" t="n">
        <x:v>41948</x:v>
      </x:c>
      <x:c r="E43" s="25" t="n">
        <x:v>0.2493972930954016</x:v>
      </x:c>
      <x:c r="F43" s="25" t="n">
        <x:v>0.16153924256269672</x:v>
      </x:c>
      <x:c r="G43" s="25" t="n">
        <x:v>0.43429907836961806</x:v>
      </x:c>
      <x:c r="H43" s="25" t="n">
        <x:v>0.03815667037370506</x:v>
      </x:c>
      <x:c r="I43" s="30" t="n">
        <x:v>0.05381873956782605</x:v>
      </x:c>
      <x:c r="J43" s="25" t="str">
        <x:v>NAME_EDUCATION_TYPE</x:v>
      </x:c>
      <x:c r="K43" s="25" t="str">
        <x:v>Higher education</x:v>
      </x:c>
      <x:c r="L43" s="35" t="b">
        <x:v>0</x:v>
      </x:c>
    </x:row>
    <x:row r="44" ht="19" customHeight="1">
      <x:c r="A44" s="25" t="str">
        <x:v>Incomplete higher</x:v>
      </x:c>
      <x:c r="B44" s="28" t="n">
        <x:v>6173</x:v>
      </x:c>
      <x:c r="C44" s="25" t="n">
        <x:v>551</x:v>
      </x:c>
      <x:c r="D44" s="25" t="n">
        <x:v>5622</x:v>
      </x:c>
      <x:c r="E44" s="25" t="n">
        <x:v>0.03342756666934206</x:v>
      </x:c>
      <x:c r="F44" s="25" t="n">
        <x:v>0.037330355027583174</x:v>
      </x:c>
      <x:c r="G44" s="25" t="n">
        <x:v>-0.11042589444718086</x:v>
      </x:c>
      <x:c r="H44" s="25" t="n">
        <x:v>0.0004309688952968196</x:v>
      </x:c>
      <x:c r="I44" s="30" t="n">
        <x:v>0.08925967924833954</x:v>
      </x:c>
      <x:c r="J44" s="25" t="str">
        <x:v>NAME_EDUCATION_TYPE</x:v>
      </x:c>
      <x:c r="K44" s="25" t="str">
        <x:v>Incomplete higher</x:v>
      </x:c>
      <x:c r="L44" s="35" t="b">
        <x:v>0</x:v>
      </x:c>
    </x:row>
    <x:row r="45" ht="19" customHeight="1">
      <x:c r="A45" s="25" t="str">
        <x:v>Lower secondary</x:v>
      </x:c>
      <x:c r="B45" s="28" t="n">
        <x:v>2240</x:v>
      </x:c>
      <x:c r="C45" s="25" t="n">
        <x:v>247</x:v>
      </x:c>
      <x:c r="D45" s="25" t="n">
        <x:v>1993</x:v>
      </x:c>
      <x:c r="E45" s="25" t="n">
        <x:v>0.0118519971819179</x:v>
      </x:c>
      <x:c r="F45" s="25" t="n">
        <x:v>0.01675296984465428</x:v>
      </x:c>
      <x:c r="G45" s="25" t="n">
        <x:v>-0.3460791547744298</x:v>
      </x:c>
      <x:c r="H45" s="25" t="n">
        <x:v>0.0016961244766923928</x:v>
      </x:c>
      <x:c r="I45" s="30" t="n">
        <x:v>0.11026785714285714</x:v>
      </x:c>
      <x:c r="J45" s="25" t="str">
        <x:v>NAME_EDUCATION_TYPE</x:v>
      </x:c>
      <x:c r="K45" s="25" t="str">
        <x:v>Lower secondary</x:v>
      </x:c>
      <x:c r="L45" s="35" t="b">
        <x:v>0</x:v>
      </x:c>
    </x:row>
    <x:row r="46" ht="19" customHeight="1">
      <x:c r="A46" s="25" t="str">
        <x:v>Secondary / secondary special</x:v>
      </x:c>
      <x:c r="B46" s="28" t="n">
        <x:v>130134</x:v>
      </x:c>
      <x:c r="C46" s="25" t="n">
        <x:v>11586</x:v>
      </x:c>
      <x:c r="D46" s="25" t="n">
        <x:v>118548</x:v>
      </x:c>
      <x:c r="E46" s="25" t="n">
        <x:v>0.704808872796887</x:v>
      </x:c>
      <x:c r="F46" s="25" t="n">
        <x:v>0.7842758994144922</x:v>
      </x:c>
      <x:c r="G46" s="25" t="n">
        <x:v>-0.10683420732060328</x:v>
      </x:c>
      <x:c r="H46" s="25" t="n">
        <x:v>0.008489796796817132</x:v>
      </x:c>
      <x:c r="I46" s="30" t="n">
        <x:v>0.08903130619207894</x:v>
      </x:c>
      <x:c r="J46" s="25" t="str">
        <x:v>NAME_EDUCATION_TYPE</x:v>
      </x:c>
      <x:c r="K46" s="25" t="str">
        <x:v>Secondary / secondary special</x:v>
      </x:c>
      <x:c r="L46" s="35" t="b">
        <x:v>0</x:v>
      </x:c>
    </x:row>
    <x:row r="47" ht="19" customHeight="1">
      <x:c r="A47" s="25" t="str">
        <x:v>__OTHER__</x:v>
      </x:c>
      <x:c r="B47" s="28" t="n">
        <x:v>87</x:v>
      </x:c>
      <x:c r="C47" s="25" t="n">
        <x:v>1</x:v>
      </x:c>
      <x:c r="D47" s="25" t="n">
        <x:v>86</x:v>
      </x:c>
      <x:c r="E47" s="25" t="n">
        <x:v>0.0005142702564514164</x:v>
      </x:c>
      <x:c r="F47" s="25" t="n">
        <x:v>0.0001015331505736623</x:v>
      </x:c>
      <x:c r="G47" s="25" t="n">
        <x:v>1.622363566242575</x:v>
      </x:c>
      <x:c r="H47" s="25" t="n">
        <x:v>0.0006696096430124724</x:v>
      </x:c>
      <x:c r="I47" s="30" t="n">
        <x:v>0.011494252873563218</x:v>
      </x:c>
      <x:c r="J47" s="25" t="str">
        <x:v>NAME_EDUCATION_TYPE</x:v>
      </x:c>
      <x:c r="K47" s="25" t="str">
        <x:v>__OTHER__</x:v>
      </x:c>
      <x:c r="L47" s="35" t="b">
        <x:v>1</x:v>
      </x:c>
    </x:row>
    <x:row r="48" ht="19" customHeight="1">
      <x:c r="A48" s="25" t="str">
        <x:v>Co-op apartment</x:v>
      </x:c>
      <x:c r="B48" s="28" t="n">
        <x:v>673</x:v>
      </x:c>
      <x:c r="C48" s="25" t="n">
        <x:v>60</x:v>
      </x:c>
      <x:c r="D48" s="25" t="n">
        <x:v>613</x:v>
      </x:c>
      <x:c r="E48" s="25" t="n">
        <x:v>0.0036474435196195004</x:v>
      </x:c>
      <x:c r="F48" s="25" t="n">
        <x:v>0.004095031812643834</x:v>
      </x:c>
      <x:c r="G48" s="25" t="n">
        <x:v>-0.11574796931813137</x:v>
      </x:c>
      <x:c r="H48" s="25" t="n">
        <x:v>0.00005180743600813536</x:v>
      </x:c>
      <x:c r="I48" s="30" t="n">
        <x:v>0.08915304606240713</x:v>
      </x:c>
      <x:c r="J48" s="25" t="str">
        <x:v>NAME_HOUSING_TYPE</x:v>
      </x:c>
      <x:c r="K48" s="25" t="str">
        <x:v>Co-op apartment</x:v>
      </x:c>
      <x:c r="L48" s="35" t="b">
        <x:v>0</x:v>
      </x:c>
    </x:row>
    <x:row r="49" ht="19" customHeight="1">
      <x:c r="A49" s="25" t="str">
        <x:v>House / apartment</x:v>
      </x:c>
      <x:c r="B49" s="28" t="n">
        <x:v>162507</x:v>
      </x:c>
      <x:c r="C49" s="25" t="n">
        <x:v>12689</x:v>
      </x:c>
      <x:c r="D49" s="25" t="n">
        <x:v>149818</x:v>
      </x:c>
      <x:c r="E49" s="25" t="n">
        <x:v>0.8907164090368609</x:v>
      </x:c>
      <x:c r="F49" s="25" t="n">
        <x:v>0.8589075402734534</x:v>
      </x:c>
      <x:c r="G49" s="25" t="n">
        <x:v>0.03636481317607574</x:v>
      </x:c>
      <x:c r="H49" s="25" t="n">
        <x:v>0.001156723569923625</x:v>
      </x:c>
      <x:c r="I49" s="30" t="n">
        <x:v>0.07808279027980333</x:v>
      </x:c>
      <x:c r="J49" s="25" t="str">
        <x:v>NAME_HOUSING_TYPE</x:v>
      </x:c>
      <x:c r="K49" s="25" t="str">
        <x:v>House / apartment</x:v>
      </x:c>
      <x:c r="L49" s="35" t="b">
        <x:v>0</x:v>
      </x:c>
    </x:row>
    <x:row r="50" ht="19" customHeight="1">
      <x:c r="A50" s="25" t="str">
        <x:v>Municipal apartment</x:v>
      </x:c>
      <x:c r="B50" s="28" t="n">
        <x:v>6627</x:v>
      </x:c>
      <x:c r="C50" s="25" t="n">
        <x:v>553</x:v>
      </x:c>
      <x:c r="D50" s="25" t="n">
        <x:v>6074</x:v>
      </x:c>
      <x:c r="E50" s="25" t="n">
        <x:v>0.03611474435196195</x:v>
      </x:c>
      <x:c r="F50" s="25" t="n">
        <x:v>0.03746446459997293</x:v>
      </x:c>
      <x:c r="G50" s="25" t="n">
        <x:v>-0.03669166028619653</x:v>
      </x:c>
      <x:c r="H50" s="25" t="n">
        <x:v>0.00004952347682141976</x:v>
      </x:c>
      <x:c r="I50" s="30" t="n">
        <x:v>0.08344650671495397</x:v>
      </x:c>
      <x:c r="J50" s="25" t="str">
        <x:v>NAME_HOUSING_TYPE</x:v>
      </x:c>
      <x:c r="K50" s="25" t="str">
        <x:v>Municipal apartment</x:v>
      </x:c>
      <x:c r="L50" s="35" t="b">
        <x:v>0</x:v>
      </x:c>
    </x:row>
    <x:row r="51" ht="19" customHeight="1">
      <x:c r="A51" s="25" t="str">
        <x:v>Office apartment</x:v>
      </x:c>
      <x:c r="B51" s="28" t="n">
        <x:v>1552</x:v>
      </x:c>
      <x:c r="C51" s="25" t="n">
        <x:v>98</x:v>
      </x:c>
      <x:c r="D51" s="25" t="n">
        <x:v>1454</x:v>
      </x:c>
      <x:c r="E51" s="25" t="n">
        <x:v>0.008647443519619501</x:v>
      </x:c>
      <x:c r="F51" s="25" t="n">
        <x:v>0.006667117909841614</x:v>
      </x:c>
      <x:c r="G51" s="25" t="n">
        <x:v>0.2600760613249115</x:v>
      </x:c>
      <x:c r="H51" s="25" t="n">
        <x:v>0.0005150352847318867</x:v>
      </x:c>
      <x:c r="I51" s="30" t="n">
        <x:v>0.06314432989690721</x:v>
      </x:c>
      <x:c r="J51" s="25" t="str">
        <x:v>NAME_HOUSING_TYPE</x:v>
      </x:c>
      <x:c r="K51" s="25" t="str">
        <x:v>Office apartment</x:v>
      </x:c>
      <x:c r="L51" s="35" t="b">
        <x:v>0</x:v>
      </x:c>
    </x:row>
    <x:row r="52" ht="19" customHeight="1">
      <x:c r="A52" s="25" t="str">
        <x:v>Rented apartment</x:v>
      </x:c>
      <x:c r="B52" s="28" t="n">
        <x:v>2860</x:v>
      </x:c>
      <x:c r="C52" s="25" t="n">
        <x:v>367</x:v>
      </x:c>
      <x:c r="D52" s="25" t="n">
        <x:v>2493</x:v>
      </x:c>
      <x:c r="E52" s="25" t="n">
        <x:v>0.01482461355529132</x:v>
      </x:c>
      <x:c r="F52" s="25" t="n">
        <x:v>0.024874780018952214</x:v>
      </x:c>
      <x:c r="G52" s="25" t="n">
        <x:v>-0.5175655620990157</x:v>
      </x:c>
      <x:c r="H52" s="25" t="n">
        <x:v>0.005201620054953327</x:v>
      </x:c>
      <x:c r="I52" s="30" t="n">
        <x:v>0.12832167832167832</x:v>
      </x:c>
      <x:c r="J52" s="25" t="str">
        <x:v>NAME_HOUSING_TYPE</x:v>
      </x:c>
      <x:c r="K52" s="25" t="str">
        <x:v>Rented apartment</x:v>
      </x:c>
      <x:c r="L52" s="35" t="b">
        <x:v>0</x:v>
      </x:c>
    </x:row>
    <x:row r="53" ht="19" customHeight="1">
      <x:c r="A53" s="25" t="str">
        <x:v>With parents</x:v>
      </x:c>
      <x:c r="B53" s="28" t="n">
        <x:v>8749</x:v>
      </x:c>
      <x:c r="C53" s="25" t="n">
        <x:v>1004</x:v>
      </x:c>
      <x:c r="D53" s="25" t="n">
        <x:v>7745</x:v>
      </x:c>
      <x:c r="E53" s="25" t="n">
        <x:v>0.04604934601664685</x:v>
      </x:c>
      <x:c r="F53" s="25" t="n">
        <x:v>0.06799106538513605</x:v>
      </x:c>
      <x:c r="G53" s="25" t="n">
        <x:v>-0.3896627441408732</x:v>
      </x:c>
      <x:c r="H53" s="25" t="n">
        <x:v>0.00854987058029445</x:v>
      </x:c>
      <x:c r="I53" s="30" t="n">
        <x:v>0.1147559721110984</x:v>
      </x:c>
      <x:c r="J53" s="25" t="str">
        <x:v>NAME_HOUSING_TYPE</x:v>
      </x:c>
      <x:c r="K53" s="25" t="str">
        <x:v>With parents</x:v>
      </x:c>
      <x:c r="L53" s="35" t="b">
        <x:v>0</x:v>
      </x:c>
    </x:row>
    <x:row r="54" ht="19" customHeight="1">
      <x:c r="A54" s="25" t="str">
        <x:v>B0</x:v>
      </x:c>
      <x:c r="B54" s="28" t="n">
        <x:v>36609</x:v>
      </x:c>
      <x:c r="C54" s="25" t="n">
        <x:v>3257</x:v>
      </x:c>
      <x:c r="D54" s="25" t="n">
        <x:v>33352</x:v>
      </x:c>
      <x:c r="E54" s="25" t="n">
        <x:v>0.19829131477798687</x:v>
      </x:c>
      <x:c r="F54" s="25" t="n">
        <x:v>0.22049615866246997</x:v>
      </x:c>
      <x:c r="G54" s="25" t="n">
        <x:v>-0.1061430375331334</x:v>
      </x:c>
      <x:c r="H54" s="25" t="n">
        <x:v>0.002356889577848057</x:v>
      </x:c>
      <x:c r="I54" s="30" t="n">
        <x:v>0.08896719385943347</x:v>
      </x:c>
      <x:c r="J54" s="25" t="str">
        <x:v>REGION_POPULATION_RELATIVE</x:v>
      </x:c>
      <x:c r="K54" s="25" t="str">
        <x:v>(-inf, 0.0086249998]</x:v>
      </x:c>
      <x:c r="L54" s="35" t="b">
        <x:v>0</x:v>
      </x:c>
    </x:row>
    <x:row r="55" ht="19" customHeight="1">
      <x:c r="A55" s="25" t="str">
        <x:v>B1</x:v>
      </x:c>
      <x:c r="B55" s="28" t="n">
        <x:v>37237</x:v>
      </x:c>
      <x:c r="C55" s="25" t="n">
        <x:v>2971</x:v>
      </x:c>
      <x:c r="D55" s="25" t="n">
        <x:v>34266</x:v>
      </x:c>
      <x:c r="E55" s="25" t="n">
        <x:v>0.20372533806580875</x:v>
      </x:c>
      <x:c r="F55" s="25" t="n">
        <x:v>0.20113717128642503</x:v>
      </x:c>
      <x:c r="G55" s="25" t="n">
        <x:v>0.012785585116224294</x:v>
      </x:c>
      <x:c r="H55" s="25" t="n">
        <x:v>0.00003309122665279475</x:v>
      </x:c>
      <x:c r="I55" s="30" t="n">
        <x:v>0.07978623412197546</x:v>
      </x:c>
      <x:c r="J55" s="25" t="str">
        <x:v>REGION_POPULATION_RELATIVE</x:v>
      </x:c>
      <x:c r="K55" s="25" t="str">
        <x:v>(0.0086249998, 0.016612001]</x:v>
      </x:c>
      <x:c r="L55" s="35" t="b">
        <x:v>0</x:v>
      </x:c>
    </x:row>
    <x:row r="56" ht="19" customHeight="1">
      <x:c r="A56" s="25" t="str">
        <x:v>B2</x:v>
      </x:c>
      <x:c r="B56" s="28" t="n">
        <x:v>37471</x:v>
      </x:c>
      <x:c r="C56" s="25" t="n">
        <x:v>3563</x:v>
      </x:c>
      <x:c r="D56" s="25" t="n">
        <x:v>33908</x:v>
      </x:c>
      <x:c r="E56" s="25" t="n">
        <x:v>0.20159691318939713</x:v>
      </x:c>
      <x:c r="F56" s="25" t="n">
        <x:v>0.24120892137949707</x:v>
      </x:c>
      <x:c r="G56" s="25" t="n">
        <x:v>-0.17939322712673547</x:v>
      </x:c>
      <x:c r="H56" s="25" t="n">
        <x:v>0.007106125982192704</x:v>
      </x:c>
      <x:c r="I56" s="30" t="n">
        <x:v>0.09508686717728376</x:v>
      </x:c>
      <x:c r="J56" s="25" t="str">
        <x:v>REGION_POPULATION_RELATIVE</x:v>
      </x:c>
      <x:c r="K56" s="25" t="str">
        <x:v>(0.016612001, 0.020713]</x:v>
      </x:c>
      <x:c r="L56" s="35" t="b">
        <x:v>0</x:v>
      </x:c>
    </x:row>
    <x:row r="57" ht="19" customHeight="1">
      <x:c r="A57" s="25" t="str">
        <x:v>B3</x:v>
      </x:c>
      <x:c r="B57" s="28" t="n">
        <x:v>38178</x:v>
      </x:c>
      <x:c r="C57" s="25" t="n">
        <x:v>2976</x:v>
      </x:c>
      <x:c r="D57" s="25" t="n">
        <x:v>35202</x:v>
      </x:c>
      <x:c r="E57" s="25" t="n">
        <x:v>0.20929015841307494</x:v>
      </x:c>
      <x:c r="F57" s="25" t="n">
        <x:v>0.20147561512167056</x:v>
      </x:c>
      <x:c r="G57" s="25" t="n">
        <x:v>0.03805324961092753</x:v>
      </x:c>
      <x:c r="H57" s="25" t="n">
        <x:v>0.00029736876646321007</x:v>
      </x:c>
      <x:c r="I57" s="30" t="n">
        <x:v>0.07795065220807795</x:v>
      </x:c>
      <x:c r="J57" s="25" t="str">
        <x:v>REGION_POPULATION_RELATIVE</x:v>
      </x:c>
      <x:c r="K57" s="25" t="str">
        <x:v>(0.020713, 0.030755]</x:v>
      </x:c>
      <x:c r="L57" s="35" t="b">
        <x:v>0</x:v>
      </x:c>
    </x:row>
    <x:row r="58" ht="19" customHeight="1">
      <x:c r="A58" s="25" t="str">
        <x:v>B4</x:v>
      </x:c>
      <x:c r="B58" s="28" t="n">
        <x:v>33473</x:v>
      </x:c>
      <x:c r="C58" s="25" t="n">
        <x:v>2004</x:v>
      </x:c>
      <x:c r="D58" s="25" t="n">
        <x:v>31469</x:v>
      </x:c>
      <x:c r="E58" s="25" t="n">
        <x:v>0.18709627555373232</x:v>
      </x:c>
      <x:c r="F58" s="25" t="n">
        <x:v>0.13568213354993738</x:v>
      </x:c>
      <x:c r="G58" s="25" t="n">
        <x:v>0.3213084301151365</x:v>
      </x:c>
      <x:c r="H58" s="25" t="n">
        <x:v>0.016519797252956048</x:v>
      </x:c>
      <x:c r="I58" s="30" t="n">
        <x:v>0.05986914826875392</x:v>
      </x:c>
      <x:c r="J58" s="25" t="str">
        <x:v>REGION_POPULATION_RELATIVE</x:v>
      </x:c>
      <x:c r="K58" s="25" t="str">
        <x:v>(0.030755, inf]</x:v>
      </x:c>
      <x:c r="L58" s="35" t="b">
        <x:v>0</x:v>
      </x:c>
    </x:row>
    <x:row r="59" ht="19" customHeight="1">
      <x:c r="A59" s="25" t="n">
        <x:v>0</x:v>
      </x:c>
      <x:c r="B59" s="28" t="n">
        <x:v>62141</x:v>
      </x:c>
      <x:c r="C59" s="25" t="n">
        <x:v>4502</x:v>
      </x:c>
      <x:c r="D59" s="25" t="n">
        <x:v>57639</x:v>
      </x:c>
      <x:c r="E59" s="25" t="n">
        <x:v>0.34268837917216616</x:v>
      </x:c>
      <x:c r="F59" s="25" t="n">
        <x:v>0.30479962090441376</x:v>
      </x:c>
      <x:c r="G59" s="25" t="n">
        <x:v>0.1171669386227319</x:v>
      </x:c>
      <x:c r="H59" s="25" t="n">
        <x:v>0.004439309814449272</x:v>
      </x:c>
      <x:c r="I59" s="30" t="n">
        <x:v>0.07244814212838545</x:v>
      </x:c>
      <x:c r="J59" s="25" t="str">
        <x:v>OWN_CAR_AGE__MISSING</x:v>
      </x:c>
      <x:c r="K59" s="25" t="n">
        <x:v>0</x:v>
      </x:c>
      <x:c r="L59" s="35" t="b">
        <x:v>0</x:v>
      </x:c>
    </x:row>
    <x:row r="60" ht="19" customHeight="1">
      <x:c r="A60" s="25" t="n">
        <x:v>1</x:v>
      </x:c>
      <x:c r="B60" s="28" t="n">
        <x:v>120827</x:v>
      </x:c>
      <x:c r="C60" s="25" t="n">
        <x:v>10269</x:v>
      </x:c>
      <x:c r="D60" s="25" t="n">
        <x:v>110558</x:v>
      </x:c>
      <x:c r="E60" s="25" t="n">
        <x:v>0.6573116208278339</x:v>
      </x:c>
      <x:c r="F60" s="25" t="n">
        <x:v>0.6952003790955863</x:v>
      </x:c>
      <x:c r="G60" s="25" t="n">
        <x:v>-0.05604190450143644</x:v>
      </x:c>
      <x:c r="H60" s="25" t="n">
        <x:v>0.0021233581725193904</x:v>
      </x:c>
      <x:c r="I60" s="30" t="n">
        <x:v>0.08498928219685997</x:v>
      </x:c>
      <x:c r="J60" s="25" t="str">
        <x:v>OWN_CAR_AGE__MISSING</x:v>
      </x:c>
      <x:c r="K60" s="25" t="n">
        <x:v>1</x:v>
      </x:c>
      <x:c r="L60" s="35" t="b">
        <x:v>0</x:v>
      </x:c>
    </x:row>
    <x:row r="61" ht="19" customHeight="1">
      <x:c r="A61" s="25" t="str">
        <x:v>B0</x:v>
      </x:c>
      <x:c r="B61" s="28" t="n">
        <x:v>14982</x:v>
      </x:c>
      <x:c r="C61" s="25" t="n">
        <x:v>869</x:v>
      </x:c>
      <x:c r="D61" s="25" t="n">
        <x:v>14113</x:v>
      </x:c>
      <x:c r="E61" s="25" t="n">
        <x:v>0.0839090368608799</x:v>
      </x:c>
      <x:c r="F61" s="25" t="n">
        <x:v>0.058853391092459725</x:v>
      </x:c>
      <x:c r="G61" s="25" t="n">
        <x:v>0.35468386288829057</x:v>
      </x:c>
      <x:c r="H61" s="25" t="n">
        <x:v>0.00888683322830392</x:v>
      </x:c>
      <x:c r="I61" s="30" t="n">
        <x:v>0.05800293685756241</x:v>
      </x:c>
      <x:c r="J61" s="25" t="str">
        <x:v>OWN_CAR_AGE</x:v>
      </x:c>
      <x:c r="K61" s="25" t="str">
        <x:v>(-inf, 4]</x:v>
      </x:c>
      <x:c r="L61" s="35" t="b">
        <x:v>0</x:v>
      </x:c>
    </x:row>
    <x:row r="62" ht="19" customHeight="1">
      <x:c r="A62" s="25" t="str">
        <x:v>B1</x:v>
      </x:c>
      <x:c r="B62" s="28" t="n">
        <x:v>10273</x:v>
      </x:c>
      <x:c r="C62" s="25" t="n">
        <x:v>558</x:v>
      </x:c>
      <x:c r="D62" s="25" t="n">
        <x:v>9715</x:v>
      </x:c>
      <x:c r="E62" s="25" t="n">
        <x:v>0.0577615933412604</x:v>
      </x:c>
      <x:c r="F62" s="25" t="n">
        <x:v>0.03780289698118316</x:v>
      </x:c>
      <x:c r="G62" s="25" t="n">
        <x:v>0.4239383403495244</x:v>
      </x:c>
      <x:c r="H62" s="25" t="n">
        <x:v>0.00846125661043124</x:v>
      </x:c>
      <x:c r="I62" s="30" t="n">
        <x:v>0.05431714202277815</x:v>
      </x:c>
      <x:c r="J62" s="25" t="str">
        <x:v>OWN_CAR_AGE</x:v>
      </x:c>
      <x:c r="K62" s="25" t="str">
        <x:v>(4, 7]</x:v>
      </x:c>
      <x:c r="L62" s="35" t="b">
        <x:v>0</x:v>
      </x:c>
    </x:row>
    <x:row r="63" ht="19" customHeight="1">
      <x:c r="A63" s="25" t="str">
        <x:v>B2</x:v>
      </x:c>
      <x:c r="B63" s="28" t="n">
        <x:v>14291</x:v>
      </x:c>
      <x:c r="C63" s="25" t="n">
        <x:v>1021</x:v>
      </x:c>
      <x:c r="D63" s="25" t="n">
        <x:v>13270</x:v>
      </x:c>
      <x:c r="E63" s="25" t="n">
        <x:v>0.07889714625445898</x:v>
      </x:c>
      <x:c r="F63" s="25" t="n">
        <x:v>0.06914173548125084</x:v>
      </x:c>
      <x:c r="G63" s="25" t="n">
        <x:v>0.13198652290157198</x:v>
      </x:c>
      <x:c r="H63" s="25" t="n">
        <x:v>0.0012875827474322784</x:v>
      </x:c>
      <x:c r="I63" s="30" t="n">
        <x:v>0.07144356588062417</x:v>
      </x:c>
      <x:c r="J63" s="25" t="str">
        <x:v>OWN_CAR_AGE</x:v>
      </x:c>
      <x:c r="K63" s="25" t="str">
        <x:v>(7, 12]</x:v>
      </x:c>
      <x:c r="L63" s="35" t="b">
        <x:v>0</x:v>
      </x:c>
    </x:row>
    <x:row r="64" ht="19" customHeight="1">
      <x:c r="A64" s="25" t="str">
        <x:v>B3</x:v>
      </x:c>
      <x:c r="B64" s="28" t="n">
        <x:v>11266</x:v>
      </x:c>
      <x:c r="C64" s="25" t="n">
        <x:v>999</x:v>
      </x:c>
      <x:c r="D64" s="25" t="n">
        <x:v>10267</x:v>
      </x:c>
      <x:c r="E64" s="25" t="n">
        <x:v>0.061043400713436384</x:v>
      </x:c>
      <x:c r="F64" s="25" t="n">
        <x:v>0.06765263300392582</x:v>
      </x:c>
      <x:c r="G64" s="25" t="n">
        <x:v>-0.10280117654204293</x:v>
      </x:c>
      <x:c r="H64" s="25" t="n">
        <x:v>0.0006794368555019754</x:v>
      </x:c>
      <x:c r="I64" s="30" t="n">
        <x:v>0.0886738860287591</x:v>
      </x:c>
      <x:c r="J64" s="25" t="str">
        <x:v>OWN_CAR_AGE</x:v>
      </x:c>
      <x:c r="K64" s="25" t="str">
        <x:v>(12, 17]</x:v>
      </x:c>
      <x:c r="L64" s="35" t="b">
        <x:v>0</x:v>
      </x:c>
    </x:row>
    <x:row r="65" ht="19" customHeight="1">
      <x:c r="A65" s="25" t="str">
        <x:v>B4</x:v>
      </x:c>
      <x:c r="B65" s="28" t="n">
        <x:v>11329</x:v>
      </x:c>
      <x:c r="C65" s="25" t="n">
        <x:v>1055</x:v>
      </x:c>
      <x:c r="D65" s="25" t="n">
        <x:v>10274</x:v>
      </x:c>
      <x:c r="E65" s="25" t="n">
        <x:v>0.06108501783590963</x:v>
      </x:c>
      <x:c r="F65" s="25" t="n">
        <x:v>0.07144307567348043</x:v>
      </x:c>
      <x:c r="G65" s="25" t="n">
        <x:v>-0.156634359340752</x:v>
      </x:c>
      <x:c r="H65" s="25" t="n">
        <x:v>0.0016224277534023577</x:v>
      </x:c>
      <x:c r="I65" s="30" t="n">
        <x:v>0.09312384146879689</x:v>
      </x:c>
      <x:c r="J65" s="25" t="str">
        <x:v>OWN_CAR_AGE</x:v>
      </x:c>
      <x:c r="K65" s="25" t="str">
        <x:v>(17, inf]</x:v>
      </x:c>
      <x:c r="L65" s="35" t="b">
        <x:v>0</x:v>
      </x:c>
    </x:row>
    <x:row r="66" ht="19" customHeight="1">
      <x:c r="A66" s="25" t="str">
        <x:v>Missing</x:v>
      </x:c>
      <x:c r="B66" s="28" t="n">
        <x:v>120827</x:v>
      </x:c>
      <x:c r="C66" s="25" t="n">
        <x:v>10269</x:v>
      </x:c>
      <x:c r="D66" s="25" t="n">
        <x:v>110558</x:v>
      </x:c>
      <x:c r="E66" s="25" t="n">
        <x:v>0.6573038049940547</x:v>
      </x:c>
      <x:c r="F66" s="25" t="n">
        <x:v>0.6951062677677</x:v>
      </x:c>
      <x:c r="G66" s="25" t="n">
        <x:v>-0.05591841306232198</x:v>
      </x:c>
      <x:c r="H66" s="25" t="n">
        <x:v>0.0021138537281497477</x:v>
      </x:c>
      <x:c r="I66" s="30" t="n">
        <x:v>0.08498928219685997</x:v>
      </x:c>
      <x:c r="J66" s="25" t="str">
        <x:v>OWN_CAR_AGE</x:v>
      </x:c>
      <x:c r="K66" s="25" t="str">
        <x:v>Missing</x:v>
      </x:c>
      <x:c r="L66" s="35" t="b">
        <x:v>0</x:v>
      </x:c>
    </x:row>
    <x:row r="67" ht="19" customHeight="1">
      <x:c r="A67" s="25" t="n">
        <x:v>0</x:v>
      </x:c>
      <x:c r="B67" s="28" t="n">
        <x:v>1</x:v>
      </x:c>
      <x:c r="C67" s="25" t="n">
        <x:v>0</x:v>
      </x:c>
      <x:c r="D67" s="25" t="n">
        <x:v>1</x:v>
      </x:c>
      <x:c r="E67" s="25" t="n">
        <x:v>0.000008918060856847287</x:v>
      </x:c>
      <x:c r="F67" s="25" t="n">
        <x:v>0.000033847820200379094</x:v>
      </x:c>
      <x:c r="G67" s="25" t="n">
        <x:v>-1.3337960712033063</x:v>
      </x:c>
      <x:c r="H67" s="25" t="n">
        <x:v>0.000033251215068446644</x:v>
      </x:c>
      <x:c r="I67" s="30" t="n">
        <x:v>0</x:v>
      </x:c>
      <x:c r="J67" s="25" t="str">
        <x:v>FLAG_MOBIL</x:v>
      </x:c>
      <x:c r="K67" s="25" t="n">
        <x:v>0</x:v>
      </x:c>
      <x:c r="L67" s="35" t="b">
        <x:v>1</x:v>
      </x:c>
    </x:row>
    <x:row r="68" ht="19" customHeight="1">
      <x:c r="A68" s="25" t="n">
        <x:v>1</x:v>
      </x:c>
      <x:c r="B68" s="28" t="n">
        <x:v>182967</x:v>
      </x:c>
      <x:c r="C68" s="25" t="n">
        <x:v>14771</x:v>
      </x:c>
      <x:c r="D68" s="25" t="n">
        <x:v>168196</x:v>
      </x:c>
      <x:c r="E68" s="25" t="n">
        <x:v>0.9999910819391431</x:v>
      </x:c>
      <x:c r="F68" s="25" t="n">
        <x:v>0.9999661521797997</x:v>
      </x:c>
      <x:c r="G68" s="25" t="n">
        <x:v>0.000024930292427764827</x:v>
      </x:c>
      <x:c r="H68" s="25" t="n">
        <x:v>6.215061905854709e-10</x:v>
      </x:c>
      <x:c r="I68" s="30" t="n">
        <x:v>0.0807304049364093</x:v>
      </x:c>
      <x:c r="J68" s="25" t="str">
        <x:v>FLAG_MOBIL</x:v>
      </x:c>
      <x:c r="K68" s="25" t="n">
        <x:v>1</x:v>
      </x:c>
      <x:c r="L68" s="35" t="b">
        <x:v>0</x:v>
      </x:c>
    </x:row>
    <x:row r="69" ht="19" customHeight="1">
      <x:c r="A69" s="25" t="n">
        <x:v>0</x:v>
      </x:c>
      <x:c r="B69" s="28" t="n">
        <x:v>32945</x:v>
      </x:c>
      <x:c r="C69" s="25" t="n">
        <x:v>1767</x:v>
      </x:c>
      <x:c r="D69" s="25" t="n">
        <x:v>31178</x:v>
      </x:c>
      <x:c r="E69" s="25" t="n">
        <x:v>0.18536784028347542</x:v>
      </x:c>
      <x:c r="F69" s="25" t="n">
        <x:v>0.1196520444083401</x:v>
      </x:c>
      <x:c r="G69" s="25" t="n">
        <x:v>0.43775427605102263</x:v>
      </x:c>
      <x:c r="H69" s="25" t="n">
        <x:v>0.02876737064843664</x:v>
      </x:c>
      <x:c r="I69" s="30" t="n">
        <x:v>0.05363484595538018</x:v>
      </x:c>
      <x:c r="J69" s="25" t="str">
        <x:v>FLAG_EMP_PHONE</x:v>
      </x:c>
      <x:c r="K69" s="25" t="n">
        <x:v>0</x:v>
      </x:c>
      <x:c r="L69" s="35" t="b">
        <x:v>0</x:v>
      </x:c>
    </x:row>
    <x:row r="70" ht="19" customHeight="1">
      <x:c r="A70" s="25" t="n">
        <x:v>1</x:v>
      </x:c>
      <x:c r="B70" s="28" t="n">
        <x:v>150023</x:v>
      </x:c>
      <x:c r="C70" s="25" t="n">
        <x:v>13004</x:v>
      </x:c>
      <x:c r="D70" s="25" t="n">
        <x:v>137019</x:v>
      </x:c>
      <x:c r="E70" s="25" t="n">
        <x:v>0.8146321597165246</x:v>
      </x:c>
      <x:c r="F70" s="25" t="n">
        <x:v>0.8803479555916599</x:v>
      </x:c>
      <x:c r="G70" s="25" t="n">
        <x:v>-0.07758055981591201</x:v>
      </x:c>
      <x:c r="H70" s="25" t="n">
        <x:v>0.005098268232741199</x:v>
      </x:c>
      <x:c r="I70" s="30" t="n">
        <x:v>0.08668004239349966</x:v>
      </x:c>
      <x:c r="J70" s="25" t="str">
        <x:v>FLAG_EMP_PHONE</x:v>
      </x:c>
      <x:c r="K70" s="25" t="n">
        <x:v>1</x:v>
      </x:c>
      <x:c r="L70" s="35" t="b">
        <x:v>0</x:v>
      </x:c>
    </x:row>
    <x:row r="71" ht="19" customHeight="1">
      <x:c r="A71" s="25" t="n">
        <x:v>0</x:v>
      </x:c>
      <x:c r="B71" s="28" t="n">
        <x:v>146531</x:v>
      </x:c>
      <x:c r="C71" s="25" t="n">
        <x:v>11265</x:v>
      </x:c>
      <x:c r="D71" s="25" t="n">
        <x:v>135266</x:v>
      </x:c>
      <x:c r="E71" s="25" t="n">
        <x:v>0.8042099192618224</x:v>
      </x:c>
      <x:c r="F71" s="25" t="n">
        <x:v>0.7626252369347414</x:v>
      </x:c>
      <x:c r="G71" s="25" t="n">
        <x:v>0.05309358855406997</x:v>
      </x:c>
      <x:c r="H71" s="25" t="n">
        <x:v>0.002207880013625744</x:v>
      </x:c>
      <x:c r="I71" s="30" t="n">
        <x:v>0.07687793026731544</x:v>
      </x:c>
      <x:c r="J71" s="25" t="str">
        <x:v>FLAG_WORK_PHONE</x:v>
      </x:c>
      <x:c r="K71" s="25" t="n">
        <x:v>0</x:v>
      </x:c>
      <x:c r="L71" s="35" t="b">
        <x:v>0</x:v>
      </x:c>
    </x:row>
    <x:row r="72" ht="19" customHeight="1">
      <x:c r="A72" s="25" t="n">
        <x:v>1</x:v>
      </x:c>
      <x:c r="B72" s="28" t="n">
        <x:v>36437</x:v>
      </x:c>
      <x:c r="C72" s="25" t="n">
        <x:v>3506</x:v>
      </x:c>
      <x:c r="D72" s="25" t="n">
        <x:v>32931</x:v>
      </x:c>
      <x:c r="E72" s="25" t="n">
        <x:v>0.19579008073817764</x:v>
      </x:c>
      <x:c r="F72" s="25" t="n">
        <x:v>0.2373747630652586</x:v>
      </x:c>
      <x:c r="G72" s="25" t="n">
        <x:v>-0.1925971023462476</x:v>
      </x:c>
      <x:c r="H72" s="25" t="n">
        <x:v>0.008009089318185005</x:v>
      </x:c>
      <x:c r="I72" s="30" t="n">
        <x:v>0.0962208743859264</x:v>
      </x:c>
      <x:c r="J72" s="25" t="str">
        <x:v>FLAG_WORK_PHONE</x:v>
      </x:c>
      <x:c r="K72" s="25" t="n">
        <x:v>1</x:v>
      </x:c>
      <x:c r="L72" s="35" t="b">
        <x:v>0</x:v>
      </x:c>
    </x:row>
    <x:row r="73" ht="19" customHeight="1">
      <x:c r="A73" s="25" t="n">
        <x:v>0</x:v>
      </x:c>
      <x:c r="B73" s="28" t="n">
        <x:v>346</x:v>
      </x:c>
      <x:c r="C73" s="25" t="n">
        <x:v>34</x:v>
      </x:c>
      <x:c r="D73" s="25" t="n">
        <x:v>312</x:v>
      </x:c>
      <x:c r="E73" s="25" t="n">
        <x:v>0.0018579293451765181</x:v>
      </x:c>
      <x:c r="F73" s="25" t="n">
        <x:v>0.0023354995938261575</x:v>
      </x:c>
      <x:c r="G73" s="25" t="n">
        <x:v>-0.22876321473227404</x:v>
      </x:c>
      <x:c r="H73" s="25" t="n">
        <x:v>0.00010925050534158295</x:v>
      </x:c>
      <x:c r="I73" s="30" t="n">
        <x:v>0.09826589595375723</x:v>
      </x:c>
      <x:c r="J73" s="25" t="str">
        <x:v>FLAG_CONT_MOBILE</x:v>
      </x:c>
      <x:c r="K73" s="25" t="n">
        <x:v>0</x:v>
      </x:c>
      <x:c r="L73" s="35" t="b">
        <x:v>1</x:v>
      </x:c>
    </x:row>
    <x:row r="74" ht="19" customHeight="1">
      <x:c r="A74" s="25" t="n">
        <x:v>1</x:v>
      </x:c>
      <x:c r="B74" s="28" t="n">
        <x:v>182622</x:v>
      </x:c>
      <x:c r="C74" s="25" t="n">
        <x:v>14737</x:v>
      </x:c>
      <x:c r="D74" s="25" t="n">
        <x:v>167885</x:v>
      </x:c>
      <x:c r="E74" s="25" t="n">
        <x:v>0.9981420706548235</x:v>
      </x:c>
      <x:c r="F74" s="25" t="n">
        <x:v>0.9976645004061738</x:v>
      </x:c>
      <x:c r="G74" s="25" t="n">
        <x:v>0.0004785736901454232</x:v>
      </x:c>
      <x:c r="H74" s="25" t="n">
        <x:v>2.2855255619995168e-7</x:v>
      </x:c>
      <x:c r="I74" s="30" t="n">
        <x:v>0.08069673971372562</x:v>
      </x:c>
      <x:c r="J74" s="25" t="str">
        <x:v>FLAG_CONT_MOBILE</x:v>
      </x:c>
      <x:c r="K74" s="25" t="n">
        <x:v>1</x:v>
      </x:c>
      <x:c r="L74" s="35" t="b">
        <x:v>0</x:v>
      </x:c>
    </x:row>
    <x:row r="75" ht="19" customHeight="1">
      <x:c r="A75" s="25" t="n">
        <x:v>0</x:v>
      </x:c>
      <x:c r="B75" s="28" t="n">
        <x:v>131717</x:v>
      </x:c>
      <x:c r="C75" s="25" t="n">
        <x:v>11165</x:v>
      </x:c>
      <x:c r="D75" s="25" t="n">
        <x:v>120552</x:v>
      </x:c>
      <x:c r="E75" s="25" t="n">
        <x:v>0.7167296876300551</x:v>
      </x:c>
      <x:c r="F75" s="25" t="n">
        <x:v>0.7558556728946656</x:v>
      </x:c>
      <x:c r="G75" s="25" t="n">
        <x:v>-0.05315168426920598</x:v>
      </x:c>
      <x:c r="H75" s="25" t="n">
        <x:v>0.0020796120155061847</x:v>
      </x:c>
      <x:c r="I75" s="30" t="n">
        <x:v>0.08476506449433255</x:v>
      </x:c>
      <x:c r="J75" s="25" t="str">
        <x:v>FLAG_PHONE</x:v>
      </x:c>
      <x:c r="K75" s="25" t="n">
        <x:v>0</x:v>
      </x:c>
      <x:c r="L75" s="35" t="b">
        <x:v>0</x:v>
      </x:c>
    </x:row>
    <x:row r="76" ht="19" customHeight="1">
      <x:c r="A76" s="25" t="n">
        <x:v>1</x:v>
      </x:c>
      <x:c r="B76" s="28" t="n">
        <x:v>51251</x:v>
      </x:c>
      <x:c r="C76" s="25" t="n">
        <x:v>3606</x:v>
      </x:c>
      <x:c r="D76" s="25" t="n">
        <x:v>47645</x:v>
      </x:c>
      <x:c r="E76" s="25" t="n">
        <x:v>0.28327031236994493</x:v>
      </x:c>
      <x:c r="F76" s="25" t="n">
        <x:v>0.24414432710533443</x:v>
      </x:c>
      <x:c r="G76" s="25" t="n">
        <x:v>0.14864205419269758</x:v>
      </x:c>
      <x:c r="H76" s="25" t="n">
        <x:v>0.005815766822044921</x:v>
      </x:c>
      <x:c r="I76" s="30" t="n">
        <x:v>0.07035960273945874</x:v>
      </x:c>
      <x:c r="J76" s="25" t="str">
        <x:v>FLAG_PHONE</x:v>
      </x:c>
      <x:c r="K76" s="25" t="n">
        <x:v>1</x:v>
      </x:c>
      <x:c r="L76" s="35" t="b">
        <x:v>0</x:v>
      </x:c>
    </x:row>
    <x:row r="77" ht="19" customHeight="1">
      <x:c r="A77" s="25" t="n">
        <x:v>0</x:v>
      </x:c>
      <x:c r="B77" s="28" t="n">
        <x:v>172516</x:v>
      </x:c>
      <x:c r="C77" s="25" t="n">
        <x:v>13942</x:v>
      </x:c>
      <x:c r="D77" s="25" t="n">
        <x:v>158574</x:v>
      </x:c>
      <x:c r="E77" s="25" t="n">
        <x:v>0.9427846942294201</x:v>
      </x:c>
      <x:c r="F77" s="25" t="n">
        <x:v>0.9438464662875711</x:v>
      </x:c>
      <x:c r="G77" s="25" t="n">
        <x:v>-0.0011255747201357707</x:v>
      </x:c>
      <x:c r="H77" s="25" t="n">
        <x:v>0.0000011951037872012312</x:v>
      </x:c>
      <x:c r="I77" s="30" t="n">
        <x:v>0.08081569245751119</x:v>
      </x:c>
      <x:c r="J77" s="25" t="str">
        <x:v>FLAG_EMAIL</x:v>
      </x:c>
      <x:c r="K77" s="25" t="n">
        <x:v>0</x:v>
      </x:c>
      <x:c r="L77" s="35" t="b">
        <x:v>0</x:v>
      </x:c>
    </x:row>
    <x:row r="78" ht="19" customHeight="1">
      <x:c r="A78" s="25" t="n">
        <x:v>1</x:v>
      </x:c>
      <x:c r="B78" s="28" t="n">
        <x:v>10452</x:v>
      </x:c>
      <x:c r="C78" s="25" t="n">
        <x:v>829</x:v>
      </x:c>
      <x:c r="D78" s="25" t="n">
        <x:v>9623</x:v>
      </x:c>
      <x:c r="E78" s="25" t="n">
        <x:v>0.05721530577057991</x:v>
      </x:c>
      <x:c r="F78" s="25" t="n">
        <x:v>0.05615353371242892</x:v>
      </x:c>
      <x:c r="G78" s="25" t="n">
        <x:v>0.018731833353263283</x:v>
      </x:c>
      <x:c r="H78" s="25" t="n">
        <x:v>0.00001988893725243578</x:v>
      </x:c>
      <x:c r="I78" s="30" t="n">
        <x:v>0.07931496364332186</x:v>
      </x:c>
      <x:c r="J78" s="25" t="str">
        <x:v>FLAG_EMAIL</x:v>
      </x:c>
      <x:c r="K78" s="25" t="n">
        <x:v>1</x:v>
      </x:c>
      <x:c r="L78" s="35" t="b">
        <x:v>0</x:v>
      </x:c>
    </x:row>
    <x:row r="79" ht="19" customHeight="1">
      <x:c r="A79" s="25" t="str">
        <x:v>Accountants</x:v>
      </x:c>
      <x:c r="B79" s="28" t="n">
        <x:v>5767</x:v>
      </x:c>
      <x:c r="C79" s="25" t="n">
        <x:v>268</x:v>
      </x:c>
      <x:c r="D79" s="25" t="n">
        <x:v>5499</x:v>
      </x:c>
      <x:c r="E79" s="25" t="n">
        <x:v>0.03269493152761635</x:v>
      </x:c>
      <x:c r="F79" s="25" t="n">
        <x:v>0.018165826595852645</x:v>
      </x:c>
      <x:c r="G79" s="25" t="n">
        <x:v>0.587677897232389</x:v>
      </x:c>
      <x:c r="H79" s="25" t="n">
        <x:v>0.008538433834967626</x:v>
      </x:c>
      <x:c r="I79" s="30" t="n">
        <x:v>0.04647130223686492</x:v>
      </x:c>
      <x:c r="J79" s="25" t="str">
        <x:v>OCCUPATION_TYPE</x:v>
      </x:c>
      <x:c r="K79" s="25" t="str">
        <x:v>Accountants</x:v>
      </x:c>
      <x:c r="L79" s="35" t="b">
        <x:v>0</x:v>
      </x:c>
    </x:row>
    <x:row r="80" ht="19" customHeight="1">
      <x:c r="A80" s="25" t="str">
        <x:v>Cleaning staff</x:v>
      </x:c>
      <x:c r="B80" s="28" t="n">
        <x:v>2834</x:v>
      </x:c>
      <x:c r="C80" s="25" t="n">
        <x:v>279</x:v>
      </x:c>
      <x:c r="D80" s="25" t="n">
        <x:v>2555</x:v>
      </x:c>
      <x:c r="E80" s="25" t="n">
        <x:v>0.015192635242990015</x:v>
      </x:c>
      <x:c r="F80" s="25" t="n">
        <x:v>0.01891005040424884</x:v>
      </x:c>
      <x:c r="G80" s="25" t="n">
        <x:v>-0.2188827612026824</x:v>
      </x:c>
      <x:c r="H80" s="25" t="n">
        <x:v>0.0008136780950330466</x:v>
      </x:c>
      <x:c r="I80" s="30" t="n">
        <x:v>0.09844742413549754</x:v>
      </x:c>
      <x:c r="J80" s="25" t="str">
        <x:v>OCCUPATION_TYPE</x:v>
      </x:c>
      <x:c r="K80" s="25" t="str">
        <x:v>Cleaning staff</x:v>
      </x:c>
      <x:c r="L80" s="35" t="b">
        <x:v>0</x:v>
      </x:c>
    </x:row>
    <x:row r="81" ht="19" customHeight="1">
      <x:c r="A81" s="25" t="str">
        <x:v>Cooking staff</x:v>
      </x:c>
      <x:c r="B81" s="28" t="n">
        <x:v>3567</x:v>
      </x:c>
      <x:c r="C81" s="25" t="n">
        <x:v>377</x:v>
      </x:c>
      <x:c r="D81" s="25" t="n">
        <x:v>3190</x:v>
      </x:c>
      <x:c r="E81" s="25" t="n">
        <x:v>0.018967756894055818</x:v>
      </x:c>
      <x:c r="F81" s="25" t="n">
        <x:v>0.025540407969960422</x:v>
      </x:c>
      <x:c r="G81" s="25" t="n">
        <x:v>-0.2975212921965408</x:v>
      </x:c>
      <x:c r="H81" s="25" t="n">
        <x:v>0.0019555036412601218</x:v>
      </x:c>
      <x:c r="I81" s="30" t="n">
        <x:v>0.10569105691056911</x:v>
      </x:c>
      <x:c r="J81" s="25" t="str">
        <x:v>OCCUPATION_TYPE</x:v>
      </x:c>
      <x:c r="K81" s="25" t="str">
        <x:v>Cooking staff</x:v>
      </x:c>
      <x:c r="L81" s="35" t="b">
        <x:v>0</x:v>
      </x:c>
    </x:row>
    <x:row r="82" ht="19" customHeight="1">
      <x:c r="A82" s="25" t="str">
        <x:v>Core staff</x:v>
      </x:c>
      <x:c r="B82" s="28" t="n">
        <x:v>16483</x:v>
      </x:c>
      <x:c r="C82" s="25" t="n">
        <x:v>1085</x:v>
      </x:c>
      <x:c r="D82" s="25" t="n">
        <x:v>15398</x:v>
      </x:c>
      <x:c r="E82" s="25" t="n">
        <x:v>0.09154521376997916</x:v>
      </x:c>
      <x:c r="F82" s="25" t="n">
        <x:v>0.07344135854673388</x:v>
      </x:c>
      <x:c r="G82" s="25" t="n">
        <x:v>0.22034574492616749</x:v>
      </x:c>
      <x:c r="H82" s="25" t="n">
        <x:v>0.003989107465201471</x:v>
      </x:c>
      <x:c r="I82" s="30" t="n">
        <x:v>0.06582539586240369</x:v>
      </x:c>
      <x:c r="J82" s="25" t="str">
        <x:v>OCCUPATION_TYPE</x:v>
      </x:c>
      <x:c r="K82" s="25" t="str">
        <x:v>Core staff</x:v>
      </x:c>
      <x:c r="L82" s="35" t="b">
        <x:v>0</x:v>
      </x:c>
    </x:row>
    <x:row r="83" ht="19" customHeight="1">
      <x:c r="A83" s="25" t="str">
        <x:v>Drivers</x:v>
      </x:c>
      <x:c r="B83" s="28" t="n">
        <x:v>11038</x:v>
      </x:c>
      <x:c r="C83" s="25" t="n">
        <x:v>1221</x:v>
      </x:c>
      <x:c r="D83" s="25" t="n">
        <x:v>9817</x:v>
      </x:c>
      <x:c r="E83" s="25" t="n">
        <x:v>0.058365758754863814</x:v>
      </x:c>
      <x:c r="F83" s="25" t="n">
        <x:v>0.08264267108690504</x:v>
      </x:c>
      <x:c r="G83" s="25" t="n">
        <x:v>-0.3477967510614933</x:v>
      </x:c>
      <x:c r="H83" s="25" t="n">
        <x:v>0.00844343123488864</x:v>
      </x:c>
      <x:c r="I83" s="30" t="n">
        <x:v>0.11061786555535423</x:v>
      </x:c>
      <x:c r="J83" s="25" t="str">
        <x:v>OCCUPATION_TYPE</x:v>
      </x:c>
      <x:c r="K83" s="25" t="str">
        <x:v>Drivers</x:v>
      </x:c>
      <x:c r="L83" s="35" t="b">
        <x:v>0</x:v>
      </x:c>
    </x:row>
    <x:row r="84" ht="19" customHeight="1">
      <x:c r="A84" s="25" t="str">
        <x:v>HR staff</x:v>
      </x:c>
      <x:c r="B84" s="28" t="n">
        <x:v>307</x:v>
      </x:c>
      <x:c r="C84" s="25" t="n">
        <x:v>19</x:v>
      </x:c>
      <x:c r="D84" s="25" t="n">
        <x:v>288</x:v>
      </x:c>
      <x:c r="E84" s="25" t="n">
        <x:v>0.001715153695011786</x:v>
      </x:c>
      <x:c r="F84" s="25" t="n">
        <x:v>0.0013193058421568959</x:v>
      </x:c>
      <x:c r="G84" s="25" t="n">
        <x:v>0.26239697356259023</x:v>
      </x:c>
      <x:c r="H84" s="25" t="n">
        <x:v>0.00010386927858037272</x:v>
      </x:c>
      <x:c r="I84" s="30" t="n">
        <x:v>0.06188925081433225</x:v>
      </x:c>
      <x:c r="J84" s="25" t="str">
        <x:v>OCCUPATION_TYPE</x:v>
      </x:c>
      <x:c r="K84" s="25" t="str">
        <x:v>HR staff</x:v>
      </x:c>
      <x:c r="L84" s="35" t="b">
        <x:v>1</x:v>
      </x:c>
    </x:row>
    <x:row r="85" ht="19" customHeight="1">
      <x:c r="A85" s="25" t="str">
        <x:v>High skill tech staff</x:v>
      </x:c>
      <x:c r="B85" s="28" t="n">
        <x:v>6737</x:v>
      </x:c>
      <x:c r="C85" s="25" t="n">
        <x:v>423</x:v>
      </x:c>
      <x:c r="D85" s="25" t="n">
        <x:v>6314</x:v>
      </x:c>
      <x:c r="E85" s="25" t="n">
        <x:v>0.03754016640260632</x:v>
      </x:c>
      <x:c r="F85" s="25" t="n">
        <x:v>0.02865261662325361</x:v>
      </x:c>
      <x:c r="G85" s="25" t="n">
        <x:v>0.27016669417825284</x:v>
      </x:c>
      <x:c r="H85" s="25" t="n">
        <x:v>0.0024011199432323826</x:v>
      </x:c>
      <x:c r="I85" s="30" t="n">
        <x:v>0.06278759091583791</x:v>
      </x:c>
      <x:c r="J85" s="25" t="str">
        <x:v>OCCUPATION_TYPE</x:v>
      </x:c>
      <x:c r="K85" s="25" t="str">
        <x:v>High skill tech staff</x:v>
      </x:c>
      <x:c r="L85" s="35" t="b">
        <x:v>0</x:v>
      </x:c>
    </x:row>
    <x:row r="86" ht="19" customHeight="1">
      <x:c r="A86" s="25" t="str">
        <x:v>IT staff</x:v>
      </x:c>
      <x:c r="B86" s="28" t="n">
        <x:v>297</x:v>
      </x:c>
      <x:c r="C86" s="25" t="n">
        <x:v>15</x:v>
      </x:c>
      <x:c r="D86" s="25" t="n">
        <x:v>282</x:v>
      </x:c>
      <x:c r="E86" s="25" t="n">
        <x:v>0.001679483254214314</x:v>
      </x:c>
      <x:c r="F86" s="25" t="n">
        <x:v>0.0010486790027400968</x:v>
      </x:c>
      <x:c r="G86" s="25" t="n">
        <x:v>0.4709548798454317</x:v>
      </x:c>
      <x:c r="H86" s="25" t="n">
        <x:v>0.0002970803404590274</x:v>
      </x:c>
      <x:c r="I86" s="30" t="n">
        <x:v>0.050505050505050504</x:v>
      </x:c>
      <x:c r="J86" s="25" t="str">
        <x:v>OCCUPATION_TYPE</x:v>
      </x:c>
      <x:c r="K86" s="25" t="str">
        <x:v>IT staff</x:v>
      </x:c>
      <x:c r="L86" s="35" t="b">
        <x:v>1</x:v>
      </x:c>
    </x:row>
    <x:row r="87" ht="19" customHeight="1">
      <x:c r="A87" s="25" t="str">
        <x:v>Laborers</x:v>
      </x:c>
      <x:c r="B87" s="28" t="n">
        <x:v>32911</x:v>
      </x:c>
      <x:c r="C87" s="25" t="n">
        <x:v>3469</x:v>
      </x:c>
      <x:c r="D87" s="25" t="n">
        <x:v>29442</x:v>
      </x:c>
      <x:c r="E87" s="25" t="n">
        <x:v>0.175037825529929</x:v>
      </x:c>
      <x:c r="F87" s="25" t="n">
        <x:v>0.23473495483914616</x:v>
      </x:c>
      <x:c r="G87" s="25" t="n">
        <x:v>-0.2934549294397627</x:v>
      </x:c>
      <x:c r="H87" s="25" t="n">
        <x:v>0.017518416869192713</x:v>
      </x:c>
      <x:c r="I87" s="30" t="n">
        <x:v>0.10540548752696667</x:v>
      </x:c>
      <x:c r="J87" s="25" t="str">
        <x:v>OCCUPATION_TYPE</x:v>
      </x:c>
      <x:c r="K87" s="25" t="str">
        <x:v>Laborers</x:v>
      </x:c>
      <x:c r="L87" s="35" t="b">
        <x:v>0</x:v>
      </x:c>
    </x:row>
    <x:row r="88" ht="19" customHeight="1">
      <x:c r="A88" s="25" t="str">
        <x:v>Low-skill Laborers</x:v>
      </x:c>
      <x:c r="B88" s="28" t="n">
        <x:v>1249</x:v>
      </x:c>
      <x:c r="C88" s="25" t="n">
        <x:v>226</x:v>
      </x:c>
      <x:c r="D88" s="25" t="n">
        <x:v>1023</x:v>
      </x:c>
      <x:c r="E88" s="25" t="n">
        <x:v>0.006084782692702125</x:v>
      </x:c>
      <x:c r="F88" s="25" t="n">
        <x:v>0.015324244781976252</x:v>
      </x:c>
      <x:c r="G88" s="25" t="n">
        <x:v>-0.9236451866376073</x:v>
      </x:c>
      <x:c r="H88" s="25" t="n">
        <x:v>0.008533984685878697</x:v>
      </x:c>
      <x:c r="I88" s="30" t="n">
        <x:v>0.18094475580464373</x:v>
      </x:c>
      <x:c r="J88" s="25" t="str">
        <x:v>OCCUPATION_TYPE</x:v>
      </x:c>
      <x:c r="K88" s="25" t="str">
        <x:v>Low-skill Laborers</x:v>
      </x:c>
      <x:c r="L88" s="35" t="b">
        <x:v>0</x:v>
      </x:c>
    </x:row>
    <x:row r="89" ht="19" customHeight="1">
      <x:c r="A89" s="25" t="str">
        <x:v>Managers</x:v>
      </x:c>
      <x:c r="B89" s="28" t="n">
        <x:v>12771</x:v>
      </x:c>
      <x:c r="C89" s="25" t="n">
        <x:v>782</x:v>
      </x:c>
      <x:c r="D89" s="25" t="n">
        <x:v>11989</x:v>
      </x:c>
      <x:c r="E89" s="25" t="n">
        <x:v>0.07127845832354873</x:v>
      </x:c>
      <x:c r="F89" s="25" t="n">
        <x:v>0.052941375460911336</x:v>
      </x:c>
      <x:c r="G89" s="25" t="n">
        <x:v>0.29740897650401227</x:v>
      </x:c>
      <x:c r="H89" s="25" t="n">
        <x:v>0.005453613046246251</x:v>
      </x:c>
      <x:c r="I89" s="30" t="n">
        <x:v>0.061232479837131</x:v>
      </x:c>
      <x:c r="J89" s="25" t="str">
        <x:v>OCCUPATION_TYPE</x:v>
      </x:c>
      <x:c r="K89" s="25" t="str">
        <x:v>Managers</x:v>
      </x:c>
      <x:c r="L89" s="35" t="b">
        <x:v>0</x:v>
      </x:c>
    </x:row>
    <x:row r="90" ht="19" customHeight="1">
      <x:c r="A90" s="25" t="str">
        <x:v>Medicine staff</x:v>
      </x:c>
      <x:c r="B90" s="28" t="n">
        <x:v>5185</x:v>
      </x:c>
      <x:c r="C90" s="25" t="n">
        <x:v>380</x:v>
      </x:c>
      <x:c r="D90" s="25" t="n">
        <x:v>4805</x:v>
      </x:c>
      <x:c r="E90" s="25" t="n">
        <x:v>0.028569050542042073</x:v>
      </x:c>
      <x:c r="F90" s="25" t="n">
        <x:v>0.02574337809952302</x:v>
      </x:c>
      <x:c r="G90" s="25" t="n">
        <x:v>0.10414655014573576</x:v>
      </x:c>
      <x:c r="H90" s="25" t="n">
        <x:v>0.0002942840367302343</x:v>
      </x:c>
      <x:c r="I90" s="30" t="n">
        <x:v>0.07328833172613308</x:v>
      </x:c>
      <x:c r="J90" s="25" t="str">
        <x:v>OCCUPATION_TYPE</x:v>
      </x:c>
      <x:c r="K90" s="25" t="str">
        <x:v>Medicine staff</x:v>
      </x:c>
      <x:c r="L90" s="35" t="b">
        <x:v>0</x:v>
      </x:c>
    </x:row>
    <x:row r="91" ht="19" customHeight="1">
      <x:c r="A91" s="25" t="str">
        <x:v>Private service staff</x:v>
      </x:c>
      <x:c r="B91" s="28" t="n">
        <x:v>1541</x:v>
      </x:c>
      <x:c r="C91" s="25" t="n">
        <x:v>92</x:v>
      </x:c>
      <x:c r="D91" s="25" t="n">
        <x:v>1449</x:v>
      </x:c>
      <x:c r="E91" s="25" t="n">
        <x:v>0.008617383989322647</x:v>
      </x:c>
      <x:c r="F91" s="25" t="n">
        <x:v>0.00625824566151348</x:v>
      </x:c>
      <x:c r="G91" s="25" t="n">
        <x:v>0.3198816570274678</x:v>
      </x:c>
      <x:c r="H91" s="25" t="n">
        <x:v>0.0007546450774566059</x:v>
      </x:c>
      <x:c r="I91" s="30" t="n">
        <x:v>0.05970149253731343</x:v>
      </x:c>
      <x:c r="J91" s="25" t="str">
        <x:v>OCCUPATION_TYPE</x:v>
      </x:c>
      <x:c r="K91" s="25" t="str">
        <x:v>Private service staff</x:v>
      </x:c>
      <x:c r="L91" s="35" t="b">
        <x:v>0</x:v>
      </x:c>
    </x:row>
    <x:row r="92" ht="19" customHeight="1">
      <x:c r="A92" s="25" t="str">
        <x:v>Realty agents</x:v>
      </x:c>
      <x:c r="B92" s="28" t="n">
        <x:v>451</x:v>
      </x:c>
      <x:c r="C92" s="25" t="n">
        <x:v>34</x:v>
      </x:c>
      <x:c r="D92" s="25" t="n">
        <x:v>417</x:v>
      </x:c>
      <x:c r="E92" s="25" t="n">
        <x:v>0.0024820681721574376</x:v>
      </x:c>
      <x:c r="F92" s="25" t="n">
        <x:v>0.0023341564899698928</x:v>
      </x:c>
      <x:c r="G92" s="25" t="n">
        <x:v>0.06144157343773334</x:v>
      </x:c>
      <x:c r="H92" s="25" t="n">
        <x:v>0.000009087926483424713</x:v>
      </x:c>
      <x:c r="I92" s="30" t="n">
        <x:v>0.07538802660753881</x:v>
      </x:c>
      <x:c r="J92" s="25" t="str">
        <x:v>OCCUPATION_TYPE</x:v>
      </x:c>
      <x:c r="K92" s="25" t="str">
        <x:v>Realty agents</x:v>
      </x:c>
      <x:c r="L92" s="35" t="b">
        <x:v>1</x:v>
      </x:c>
    </x:row>
    <x:row r="93" ht="19" customHeight="1">
      <x:c r="A93" s="25" t="str">
        <x:v>Sales staff</x:v>
      </x:c>
      <x:c r="B93" s="28" t="n">
        <x:v>18887</x:v>
      </x:c>
      <x:c r="C93" s="25" t="n">
        <x:v>1820</x:v>
      </x:c>
      <x:c r="D93" s="25" t="n">
        <x:v>17067</x:v>
      </x:c>
      <x:c r="E93" s="25" t="n">
        <x:v>0.10146754138514266</x:v>
      </x:c>
      <x:c r="F93" s="25" t="n">
        <x:v>0.12316904028957072</x:v>
      </x:c>
      <x:c r="G93" s="25" t="n">
        <x:v>-0.19381876513891572</x:v>
      </x:c>
      <x:c r="H93" s="25" t="n">
        <x:v>0.0042061577193197785</x:v>
      </x:c>
      <x:c r="I93" s="30" t="n">
        <x:v>0.096362577434214</x:v>
      </x:c>
      <x:c r="J93" s="25" t="str">
        <x:v>OCCUPATION_TYPE</x:v>
      </x:c>
      <x:c r="K93" s="25" t="str">
        <x:v>Sales staff</x:v>
      </x:c>
      <x:c r="L93" s="35" t="b">
        <x:v>0</x:v>
      </x:c>
    </x:row>
    <x:row r="94" ht="19" customHeight="1">
      <x:c r="A94" s="25" t="str">
        <x:v>Secretaries</x:v>
      </x:c>
      <x:c r="B94" s="28" t="n">
        <x:v>799</x:v>
      </x:c>
      <x:c r="C94" s="25" t="n">
        <x:v>54</x:v>
      </x:c>
      <x:c r="D94" s="25" t="n">
        <x:v>745</x:v>
      </x:c>
      <x:c r="E94" s="25" t="n">
        <x:v>0.004432052269085916</x:v>
      </x:c>
      <x:c r="F94" s="25" t="n">
        <x:v>0.0036872906870538884</x:v>
      </x:c>
      <x:c r="G94" s="25" t="n">
        <x:v>0.18397078571973205</x:v>
      </x:c>
      <x:c r="H94" s="25" t="n">
        <x:v>0.0001370143734203027</x:v>
      </x:c>
      <x:c r="I94" s="30" t="n">
        <x:v>0.06758448060075094</x:v>
      </x:c>
      <x:c r="J94" s="25" t="str">
        <x:v>OCCUPATION_TYPE</x:v>
      </x:c>
      <x:c r="K94" s="25" t="str">
        <x:v>Secretaries</x:v>
      </x:c>
      <x:c r="L94" s="35" t="b">
        <x:v>0</x:v>
      </x:c>
    </x:row>
    <x:row r="95" ht="19" customHeight="1">
      <x:c r="A95" s="25" t="str">
        <x:v>Security staff</x:v>
      </x:c>
      <x:c r="B95" s="28" t="n">
        <x:v>3974</x:v>
      </x:c>
      <x:c r="C95" s="25" t="n">
        <x:v>429</x:v>
      </x:c>
      <x:c r="D95" s="25" t="n">
        <x:v>3545</x:v>
      </x:c>
      <x:c r="E95" s="25" t="n">
        <x:v>0.021078257974572922</x:v>
      </x:c>
      <x:c r="F95" s="25" t="n">
        <x:v>0.029058556882378808</x:v>
      </x:c>
      <x:c r="G95" s="25" t="n">
        <x:v>-0.3210709154961215</x:v>
      </x:c>
      <x:c r="H95" s="25" t="n">
        <x:v>0.0025622418762619344</x:v>
      </x:c>
      <x:c r="I95" s="30" t="n">
        <x:v>0.10795168595873175</x:v>
      </x:c>
      <x:c r="J95" s="25" t="str">
        <x:v>OCCUPATION_TYPE</x:v>
      </x:c>
      <x:c r="K95" s="25" t="str">
        <x:v>Security staff</x:v>
      </x:c>
      <x:c r="L95" s="35" t="b">
        <x:v>0</x:v>
      </x:c>
    </x:row>
    <x:row r="96" ht="19" customHeight="1">
      <x:c r="A96" s="25" t="str">
        <x:v>Waiters/barmen staff</x:v>
      </x:c>
      <x:c r="B96" s="28" t="n">
        <x:v>788</x:v>
      </x:c>
      <x:c r="C96" s="25" t="n">
        <x:v>88</x:v>
      </x:c>
      <x:c r="D96" s="25" t="n">
        <x:v>700</x:v>
      </x:c>
      <x:c r="E96" s="25" t="n">
        <x:v>0.004164523963104874</x:v>
      </x:c>
      <x:c r="F96" s="25" t="n">
        <x:v>0.005987618822096682</x:v>
      </x:c>
      <x:c r="G96" s="25" t="n">
        <x:v>-0.3630918330526849</x:v>
      </x:c>
      <x:c r="H96" s="25" t="n">
        <x:v>0.0006619508541802614</x:v>
      </x:c>
      <x:c r="I96" s="30" t="n">
        <x:v>0.1116751269035533</x:v>
      </x:c>
      <x:c r="J96" s="25" t="str">
        <x:v>OCCUPATION_TYPE</x:v>
      </x:c>
      <x:c r="K96" s="25" t="str">
        <x:v>Waiters/barmen staff</x:v>
      </x:c>
      <x:c r="L96" s="35" t="b">
        <x:v>0</x:v>
      </x:c>
    </x:row>
    <x:row r="97" ht="19" customHeight="1">
      <x:c r="A97" s="25" t="str">
        <x:v>__MISSING__</x:v>
      </x:c>
      <x:c r="B97" s="28" t="n">
        <x:v>57382</x:v>
      </x:c>
      <x:c r="C97" s="25" t="n">
        <x:v>3710</x:v>
      </x:c>
      <x:c r="D97" s="25" t="n">
        <x:v>53672</x:v>
      </x:c>
      <x:c r="E97" s="25" t="n">
        <x:v>0.319086955617054</x:v>
      </x:c>
      <x:c r="F97" s="25" t="n">
        <x:v>0.2510402219140083</x:v>
      </x:c>
      <x:c r="G97" s="25" t="n">
        <x:v>0.23985048081766883</x:v>
      </x:c>
      <x:c r="H97" s="25" t="n">
        <x:v>0.01632104179674738</x:v>
      </x:c>
      <x:c r="I97" s="30" t="n">
        <x:v>0.06465442124708097</x:v>
      </x:c>
      <x:c r="J97" s="25" t="str">
        <x:v>OCCUPATION_TYPE</x:v>
      </x:c>
      <x:c r="K97" s="25" t="str">
        <x:v>__MISSING__</x:v>
      </x:c>
      <x:c r="L97" s="35" t="b">
        <x:v>0</x:v>
      </x:c>
    </x:row>
    <x:row r="98" ht="19" customHeight="1">
      <x:c r="A98" s="25" t="str">
        <x:v>B0</x:v>
      </x:c>
      <x:c r="B98" s="28" t="n">
        <x:v>134567</x:v>
      </x:c>
      <x:c r="C98" s="25" t="n">
        <x:v>10522</x:v>
      </x:c>
      <x:c r="D98" s="25" t="n">
        <x:v>124045</x:v>
      </x:c>
      <x:c r="E98" s="25" t="n">
        <x:v>0.7374946863378686</x:v>
      </x:c>
      <x:c r="F98" s="25" t="n">
        <x:v>0.7123032662040955</x:v>
      </x:c>
      <x:c r="G98" s="25" t="n">
        <x:v>0.034755126815384056</x:v>
      </x:c>
      <x:c r="H98" s="25" t="n">
        <x:v>0.000875531001408906</x:v>
      </x:c>
      <x:c r="I98" s="30" t="n">
        <x:v>0.07819153284237591</x:v>
      </x:c>
      <x:c r="J98" s="25" t="str">
        <x:v>CNT_FAM_MEMBERS</x:v>
      </x:c>
      <x:c r="K98" s="25" t="str">
        <x:v>(-inf, 2]</x:v>
      </x:c>
      <x:c r="L98" s="35" t="b">
        <x:v>0</x:v>
      </x:c>
    </x:row>
    <x:row r="99" ht="19" customHeight="1">
      <x:c r="A99" s="25" t="str">
        <x:v>B1</x:v>
      </x:c>
      <x:c r="B99" s="28" t="n">
        <x:v>31344</x:v>
      </x:c>
      <x:c r="C99" s="25" t="n">
        <x:v>2755</x:v>
      </x:c>
      <x:c r="D99" s="25" t="n">
        <x:v>28589</x:v>
      </x:c>
      <x:c r="E99" s="25" t="n">
        <x:v>0.1699747619627999</x:v>
      </x:c>
      <x:c r="F99" s="25" t="n">
        <x:v>0.1865290235234388</x:v>
      </x:c>
      <x:c r="G99" s="25" t="n">
        <x:v>-0.09293688209882357</x:v>
      </x:c>
      <x:c r="H99" s="25" t="n">
        <x:v>0.0015385014548941855</x:v>
      </x:c>
      <x:c r="I99" s="30" t="n">
        <x:v>0.08789561000510465</x:v>
      </x:c>
      <x:c r="J99" s="25" t="str">
        <x:v>CNT_FAM_MEMBERS</x:v>
      </x:c>
      <x:c r="K99" s="25" t="str">
        <x:v>(2, 3]</x:v>
      </x:c>
      <x:c r="L99" s="35" t="b">
        <x:v>0</x:v>
      </x:c>
    </x:row>
    <x:row r="100" ht="19" customHeight="1">
      <x:c r="A100" s="25" t="str">
        <x:v>B2</x:v>
      </x:c>
      <x:c r="B100" s="28" t="n">
        <x:v>17057</x:v>
      </x:c>
      <x:c r="C100" s="25" t="n">
        <x:v>1494</x:v>
      </x:c>
      <x:c r="D100" s="25" t="n">
        <x:v>15563</x:v>
      </x:c>
      <x:c r="E100" s="25" t="n">
        <x:v>0.09253055169933144</x:v>
      </x:c>
      <x:c r="F100" s="25" t="n">
        <x:v>0.10116771027246572</x:v>
      </x:c>
      <x:c r="G100" s="25" t="n">
        <x:v>-0.08924075885978526</x:v>
      </x:c>
      <x:c r="H100" s="25" t="n">
        <x:v>0.0007707865854588034</x:v>
      </x:c>
      <x:c r="I100" s="30" t="n">
        <x:v>0.08758867327197045</x:v>
      </x:c>
      <x:c r="J100" s="25" t="str">
        <x:v>CNT_FAM_MEMBERS</x:v>
      </x:c>
      <x:c r="K100" s="25" t="str">
        <x:v>(3, inf]</x:v>
      </x:c>
      <x:c r="L100" s="35" t="b">
        <x:v>0</x:v>
      </x:c>
    </x:row>
    <x:row r="101" ht="19" customHeight="1">
      <x:c r="A101" s="25" t="n">
        <x:v>1</x:v>
      </x:c>
      <x:c r="B101" s="28" t="n">
        <x:v>19239</x:v>
      </x:c>
      <x:c r="C101" s="25" t="n">
        <x:v>909</x:v>
      </x:c>
      <x:c r="D101" s="25" t="n">
        <x:v>18330</x:v>
      </x:c>
      <x:c r="E101" s="25" t="n">
        <x:v>0.10898135239018183</x:v>
      </x:c>
      <x:c r="F101" s="25" t="n">
        <x:v>0.06156710103232357</x:v>
      </x:c>
      <x:c r="G101" s="25" t="n">
        <x:v>0.5710491348838224</x:v>
      </x:c>
      <x:c r="H101" s="25" t="n">
        <x:v>0.02707586721906906</x:v>
      </x:c>
      <x:c r="I101" s="30" t="n">
        <x:v>0.047247777951036955</x:v>
      </x:c>
      <x:c r="J101" s="25" t="str">
        <x:v>REGION_RATING_CLIENT</x:v>
      </x:c>
      <x:c r="K101" s="25" t="n">
        <x:v>1</x:v>
      </x:c>
      <x:c r="L101" s="35" t="b">
        <x:v>0</x:v>
      </x:c>
    </x:row>
    <x:row r="102" ht="19" customHeight="1">
      <x:c r="A102" s="25" t="n">
        <x:v>2</x:v>
      </x:c>
      <x:c r="B102" s="28" t="n">
        <x:v>135023</x:v>
      </x:c>
      <x:c r="C102" s="25" t="n">
        <x:v>10699</x:v>
      </x:c>
      <x:c r="D102" s="25" t="n">
        <x:v>124324</x:v>
      </x:c>
      <x:c r="E102" s="25" t="n">
        <x:v>0.7391534407262847</x:v>
      </x:c>
      <x:c r="F102" s="25" t="n">
        <x:v>0.7242849889998307</x:v>
      </x:c>
      <x:c r="G102" s="25" t="n">
        <x:v>0.020320586164802243</x:v>
      </x:c>
      <x:c r="H102" s="25" t="n">
        <x:v>0.00030213565444461144</x:v>
      </x:c>
      <x:c r="I102" s="30" t="n">
        <x:v>0.07923835198447672</x:v>
      </x:c>
      <x:c r="J102" s="25" t="str">
        <x:v>REGION_RATING_CLIENT</x:v>
      </x:c>
      <x:c r="K102" s="25" t="n">
        <x:v>2</x:v>
      </x:c>
      <x:c r="L102" s="35" t="b">
        <x:v>0</x:v>
      </x:c>
    </x:row>
    <x:row r="103" ht="19" customHeight="1">
      <x:c r="A103" s="25" t="n">
        <x:v>3</x:v>
      </x:c>
      <x:c r="B103" s="28" t="n">
        <x:v>28706</x:v>
      </x:c>
      <x:c r="C103" s="25" t="n">
        <x:v>3163</x:v>
      </x:c>
      <x:c r="D103" s="25" t="n">
        <x:v>25543</x:v>
      </x:c>
      <x:c r="E103" s="25" t="n">
        <x:v>0.15186520688353344</x:v>
      </x:c>
      <x:c r="F103" s="25" t="n">
        <x:v>0.21414790996784566</x:v>
      </x:c>
      <x:c r="G103" s="25" t="n">
        <x:v>-0.34367361375874417</x:v>
      </x:c>
      <x:c r="H103" s="25" t="n">
        <x:v>0.02140492164364846</x:v>
      </x:c>
      <x:c r="I103" s="30" t="n">
        <x:v>0.11018602382777119</x:v>
      </x:c>
      <x:c r="J103" s="25" t="str">
        <x:v>REGION_RATING_CLIENT</x:v>
      </x:c>
      <x:c r="K103" s="25" t="n">
        <x:v>3</x:v>
      </x:c>
      <x:c r="L103" s="35" t="b">
        <x:v>0</x:v>
      </x:c>
    </x:row>
    <x:row r="104" ht="19" customHeight="1">
      <x:c r="A104" s="25" t="n">
        <x:v>1</x:v>
      </x:c>
      <x:c r="B104" s="28" t="n">
        <x:v>20419</x:v>
      </x:c>
      <x:c r="C104" s="25" t="n">
        <x:v>965</x:v>
      </x:c>
      <x:c r="D104" s="25" t="n">
        <x:v>19454</x:v>
      </x:c>
      <x:c r="E104" s="25" t="n">
        <x:v>0.11566393279369316</x:v>
      </x:c>
      <x:c r="F104" s="25" t="n">
        <x:v>0.06535792858351668</x:v>
      </x:c>
      <x:c r="G104" s="25" t="n">
        <x:v>0.570810097579147</x:v>
      </x:c>
      <x:c r="H104" s="25" t="n">
        <x:v>0.02871517517202782</x:v>
      </x:c>
      <x:c r="I104" s="30" t="n">
        <x:v>0.04725990499045007</x:v>
      </x:c>
      <x:c r="J104" s="25" t="str">
        <x:v>REGION_RATING_CLIENT_W_CITY</x:v>
      </x:c>
      <x:c r="K104" s="25" t="n">
        <x:v>1</x:v>
      </x:c>
      <x:c r="L104" s="35" t="b">
        <x:v>0</x:v>
      </x:c>
    </x:row>
    <x:row r="105" ht="19" customHeight="1">
      <x:c r="A105" s="25" t="n">
        <x:v>2</x:v>
      </x:c>
      <x:c r="B105" s="28" t="n">
        <x:v>136499</x:v>
      </x:c>
      <x:c r="C105" s="25" t="n">
        <x:v>10848</x:v>
      </x:c>
      <x:c r="D105" s="25" t="n">
        <x:v>125651</x:v>
      </x:c>
      <x:c r="E105" s="25" t="n">
        <x:v>0.7470429284446651</x:v>
      </x:c>
      <x:c r="F105" s="25" t="n">
        <x:v>0.7343712980199696</x:v>
      </x:c>
      <x:c r="G105" s="25" t="n">
        <x:v>0.0171078949532825</x:v>
      </x:c>
      <x:c r="H105" s="25" t="n">
        <x:v>0.0002167849221925099</x:v>
      </x:c>
      <x:c r="I105" s="30" t="n">
        <x:v>0.0794731096931113</x:v>
      </x:c>
      <x:c r="J105" s="25" t="str">
        <x:v>REGION_RATING_CLIENT_W_CITY</x:v>
      </x:c>
      <x:c r="K105" s="25" t="n">
        <x:v>2</x:v>
      </x:c>
      <x:c r="L105" s="35" t="b">
        <x:v>0</x:v>
      </x:c>
    </x:row>
    <x:row r="106" ht="19" customHeight="1">
      <x:c r="A106" s="25" t="n">
        <x:v>3</x:v>
      </x:c>
      <x:c r="B106" s="28" t="n">
        <x:v>26050</x:v>
      </x:c>
      <x:c r="C106" s="25" t="n">
        <x:v>2958</x:v>
      </x:c>
      <x:c r="D106" s="25" t="n">
        <x:v>23092</x:v>
      </x:c>
      <x:c r="E106" s="25" t="n">
        <x:v>0.13729313876164176</x:v>
      </x:c>
      <x:c r="F106" s="25" t="n">
        <x:v>0.20027077339651378</x:v>
      </x:c>
      <x:c r="G106" s="25" t="n">
        <x:v>-0.3775519789565577</x:v>
      </x:c>
      <x:c r="H106" s="25" t="n">
        <x:v>0.02377733058639898</x:v>
      </x:c>
      <x:c r="I106" s="30" t="n">
        <x:v>0.11355086372360844</x:v>
      </x:c>
      <x:c r="J106" s="25" t="str">
        <x:v>REGION_RATING_CLIENT_W_CITY</x:v>
      </x:c>
      <x:c r="K106" s="25" t="n">
        <x:v>3</x:v>
      </x:c>
      <x:c r="L106" s="35" t="b">
        <x:v>0</x:v>
      </x:c>
    </x:row>
    <x:row r="107" ht="19" customHeight="1">
      <x:c r="A107" s="25" t="str">
        <x:v>FRIDAY</x:v>
      </x:c>
      <x:c r="B107" s="28" t="n">
        <x:v>29995</x:v>
      </x:c>
      <x:c r="C107" s="25" t="n">
        <x:v>2475</x:v>
      </x:c>
      <x:c r="D107" s="25" t="n">
        <x:v>27520</x:v>
      </x:c>
      <x:c r="E107" s="25" t="n">
        <x:v>0.1636172306265439</x:v>
      </x:c>
      <x:c r="F107" s="25" t="n">
        <x:v>0.16755220142813632</x:v>
      </x:c>
      <x:c r="G107" s="25" t="n">
        <x:v>-0.023765212728630792</x:v>
      </x:c>
      <x:c r="H107" s="25" t="n">
        <x:v>0.00009351541818079453</x:v>
      </x:c>
      <x:c r="I107" s="30" t="n">
        <x:v>0.08251375229204867</x:v>
      </x:c>
      <x:c r="J107" s="25" t="str">
        <x:v>WEEKDAY_APPR_PROCESS_START</x:v>
      </x:c>
      <x:c r="K107" s="25" t="str">
        <x:v>FRIDAY</x:v>
      </x:c>
      <x:c r="L107" s="35" t="b">
        <x:v>0</x:v>
      </x:c>
    </x:row>
    <x:row r="108" ht="19" customHeight="1">
      <x:c r="A108" s="25" t="str">
        <x:v>MONDAY</x:v>
      </x:c>
      <x:c r="B108" s="28" t="n">
        <x:v>30251</x:v>
      </x:c>
      <x:c r="C108" s="25" t="n">
        <x:v>2322</x:v>
      </x:c>
      <x:c r="D108" s="25" t="n">
        <x:v>27929</x:v>
      </x:c>
      <x:c r="E108" s="25" t="n">
        <x:v>0.1660488524112592</x:v>
      </x:c>
      <x:c r="F108" s="25" t="n">
        <x:v>0.15719652103286066</x:v>
      </x:c>
      <x:c r="G108" s="25" t="n">
        <x:v>0.054785287779349906</x:v>
      </x:c>
      <x:c r="H108" s="25" t="n">
        <x:v>0.00048497752208373246</x:v>
      </x:c>
      <x:c r="I108" s="30" t="n">
        <x:v>0.0767577931308056</x:v>
      </x:c>
      <x:c r="J108" s="25" t="str">
        <x:v>WEEKDAY_APPR_PROCESS_START</x:v>
      </x:c>
      <x:c r="K108" s="25" t="str">
        <x:v>MONDAY</x:v>
      </x:c>
      <x:c r="L108" s="35" t="b">
        <x:v>0</x:v>
      </x:c>
    </x:row>
    <x:row r="109" ht="19" customHeight="1">
      <x:c r="A109" s="25" t="str">
        <x:v>SATURDAY</x:v>
      </x:c>
      <x:c r="B109" s="28" t="n">
        <x:v>20120</x:v>
      </x:c>
      <x:c r="C109" s="25" t="n">
        <x:v>1565</x:v>
      </x:c>
      <x:c r="D109" s="25" t="n">
        <x:v>18555</x:v>
      </x:c>
      <x:c r="E109" s="25" t="n">
        <x:v>0.11031774578553571</x:v>
      </x:c>
      <x:c r="F109" s="25" t="n">
        <x:v>0.10595959254120275</x:v>
      </x:c>
      <x:c r="G109" s="25" t="n">
        <x:v>0.04030698086571715</x:v>
      </x:c>
      <x:c r="H109" s="25" t="n">
        <x:v>0.00017566399942919175</x:v>
      </x:c>
      <x:c r="I109" s="30" t="n">
        <x:v>0.07778330019880715</x:v>
      </x:c>
      <x:c r="J109" s="25" t="str">
        <x:v>WEEKDAY_APPR_PROCESS_START</x:v>
      </x:c>
      <x:c r="K109" s="25" t="str">
        <x:v>SATURDAY</x:v>
      </x:c>
      <x:c r="L109" s="35" t="b">
        <x:v>0</x:v>
      </x:c>
    </x:row>
    <x:row r="110" ht="19" customHeight="1">
      <x:c r="A110" s="25" t="str">
        <x:v>SUNDAY</x:v>
      </x:c>
      <x:c r="B110" s="28" t="n">
        <x:v>9616</x:v>
      </x:c>
      <x:c r="C110" s="25" t="n">
        <x:v>797</x:v>
      </x:c>
      <x:c r="D110" s="25" t="n">
        <x:v>8819</x:v>
      </x:c>
      <x:c r="E110" s="25" t="n">
        <x:v>0.05243444579534544</x:v>
      </x:c>
      <x:c r="F110" s="25" t="n">
        <x:v>0.05397813800805442</x:v>
      </x:c>
      <x:c r="G110" s="25" t="n">
        <x:v>-0.029015375021504752</x:v>
      </x:c>
      <x:c r="H110" s="25" t="n">
        <x:v>0.00004479080846952759</x:v>
      </x:c>
      <x:c r="I110" s="30" t="n">
        <x:v>0.08288269550748752</x:v>
      </x:c>
      <x:c r="J110" s="25" t="str">
        <x:v>WEEKDAY_APPR_PROCESS_START</x:v>
      </x:c>
      <x:c r="K110" s="25" t="str">
        <x:v>SUNDAY</x:v>
      </x:c>
      <x:c r="L110" s="35" t="b">
        <x:v>0</x:v>
      </x:c>
    </x:row>
    <x:row r="111" ht="19" customHeight="1">
      <x:c r="A111" s="25" t="str">
        <x:v>THURSDAY</x:v>
      </x:c>
      <x:c r="B111" s="28" t="n">
        <x:v>30025</x:v>
      </x:c>
      <x:c r="C111" s="25" t="n">
        <x:v>2414</x:v>
      </x:c>
      <x:c r="D111" s="25" t="n">
        <x:v>27611</x:v>
      </x:c>
      <x:c r="E111" s="25" t="n">
        <x:v>0.1641582516104292</x:v>
      </x:c>
      <x:c r="F111" s="25" t="n">
        <x:v>0.16342346610714406</x:v>
      </x:c>
      <x:c r="G111" s="25" t="n">
        <x:v>0.004486127862824049</x:v>
      </x:c>
      <x:c r="H111" s="25" t="n">
        <x:v>0.000003296341719486709</x:v>
      </x:c>
      <x:c r="I111" s="30" t="n">
        <x:v>0.08039966694421316</x:v>
      </x:c>
      <x:c r="J111" s="25" t="str">
        <x:v>WEEKDAY_APPR_PROCESS_START</x:v>
      </x:c>
      <x:c r="K111" s="25" t="str">
        <x:v>THURSDAY</x:v>
      </x:c>
      <x:c r="L111" s="35" t="b">
        <x:v>0</x:v>
      </x:c>
    </x:row>
    <x:row r="112" ht="19" customHeight="1">
      <x:c r="A112" s="25" t="str">
        <x:v>TUESDAY</x:v>
      </x:c>
      <x:c r="B112" s="28" t="n">
        <x:v>32173</x:v>
      </x:c>
      <x:c r="C112" s="25" t="n">
        <x:v>2664</x:v>
      </x:c>
      <x:c r="D112" s="25" t="n">
        <x:v>29509</x:v>
      </x:c>
      <x:c r="E112" s="25" t="n">
        <x:v>0.17544240356003699</x:v>
      </x:c>
      <x:c r="F112" s="25" t="n">
        <x:v>0.18034451250465328</x:v>
      </x:c>
      <x:c r="G112" s="25" t="n">
        <x:v>-0.027558175766443798</x:v>
      </x:c>
      <x:c r="H112" s="25" t="n">
        <x:v>0.00013509317992199202</x:v>
      </x:c>
      <x:c r="I112" s="30" t="n">
        <x:v>0.08280234979641314</x:v>
      </x:c>
      <x:c r="J112" s="25" t="str">
        <x:v>WEEKDAY_APPR_PROCESS_START</x:v>
      </x:c>
      <x:c r="K112" s="25" t="str">
        <x:v>TUESDAY</x:v>
      </x:c>
      <x:c r="L112" s="35" t="b">
        <x:v>0</x:v>
      </x:c>
    </x:row>
    <x:row r="113" ht="19" customHeight="1">
      <x:c r="A113" s="25" t="str">
        <x:v>WEDNESDAY</x:v>
      </x:c>
      <x:c r="B113" s="28" t="n">
        <x:v>30788</x:v>
      </x:c>
      <x:c r="C113" s="25" t="n">
        <x:v>2534</x:v>
      </x:c>
      <x:c r="D113" s="25" t="n">
        <x:v>28254</x:v>
      </x:c>
      <x:c r="E113" s="25" t="n">
        <x:v>0.16798107021084954</x:v>
      </x:c>
      <x:c r="F113" s="25" t="n">
        <x:v>0.1715455683779485</x:v>
      </x:c>
      <x:c r="G113" s="25" t="n">
        <x:v>-0.020997640402084985</x:v>
      </x:c>
      <x:c r="H113" s="25" t="n">
        <x:v>0.00007484605072663468</x:v>
      </x:c>
      <x:c r="I113" s="30" t="n">
        <x:v>0.08230479407561388</x:v>
      </x:c>
      <x:c r="J113" s="25" t="str">
        <x:v>WEEKDAY_APPR_PROCESS_START</x:v>
      </x:c>
      <x:c r="K113" s="25" t="str">
        <x:v>WEDNESDAY</x:v>
      </x:c>
      <x:c r="L113" s="35" t="b">
        <x:v>0</x:v>
      </x:c>
    </x:row>
    <x:row r="114" ht="19" customHeight="1">
      <x:c r="A114" s="25" t="str">
        <x:v>B0</x:v>
      </x:c>
      <x:c r="B114" s="28" t="n">
        <x:v>38462</x:v>
      </x:c>
      <x:c r="C114" s="25" t="n">
        <x:v>3511</x:v>
      </x:c>
      <x:c r="D114" s="25" t="n">
        <x:v>34951</x:v>
      </x:c>
      <x:c r="E114" s="25" t="n">
        <x:v>0.20779788287123327</x:v>
      </x:c>
      <x:c r="F114" s="25" t="n">
        <x:v>0.23768910549294345</x:v>
      </x:c>
      <x:c r="G114" s="25" t="n">
        <x:v>-0.13439764999024822</x:v>
      </x:c>
      <x:c r="H114" s="25" t="n">
        <x:v>0.004017310075693194</x:v>
      </x:c>
      <x:c r="I114" s="30" t="n">
        <x:v>0.09128490458114502</x:v>
      </x:c>
      <x:c r="J114" s="25" t="str">
        <x:v>HOUR_APPR_PROCESS_START</x:v>
      </x:c>
      <x:c r="K114" s="25" t="str">
        <x:v>(-inf, 9]</x:v>
      </x:c>
      <x:c r="L114" s="35" t="b">
        <x:v>0</x:v>
      </x:c>
    </x:row>
    <x:row r="115" ht="19" customHeight="1">
      <x:c r="A115" s="25" t="str">
        <x:v>B1</x:v>
      </x:c>
      <x:c r="B115" s="28" t="n">
        <x:v>44755</x:v>
      </x:c>
      <x:c r="C115" s="25" t="n">
        <x:v>3655</x:v>
      </x:c>
      <x:c r="D115" s="25" t="n">
        <x:v>41100</x:v>
      </x:c>
      <x:c r="E115" s="25" t="n">
        <x:v>0.24435566098591255</x:v>
      </x:c>
      <x:c r="F115" s="25" t="n">
        <x:v>0.24743628794801503</x:v>
      </x:c>
      <x:c r="G115" s="25" t="n">
        <x:v>-0.012528335460015916</x:v>
      </x:c>
      <x:c r="H115" s="25" t="n">
        <x:v>0.000038595128008389654</x:v>
      </x:c>
      <x:c r="I115" s="30" t="n">
        <x:v>0.0816668528656016</x:v>
      </x:c>
      <x:c r="J115" s="25" t="str">
        <x:v>HOUR_APPR_PROCESS_START</x:v>
      </x:c>
      <x:c r="K115" s="25" t="str">
        <x:v>(9, 11]</x:v>
      </x:c>
      <x:c r="L115" s="35" t="b">
        <x:v>0</x:v>
      </x:c>
    </x:row>
    <x:row r="116" ht="19" customHeight="1">
      <x:c r="A116" s="25" t="str">
        <x:v>B2</x:v>
      </x:c>
      <x:c r="B116" s="28" t="n">
        <x:v>38794</x:v>
      </x:c>
      <x:c r="C116" s="25" t="n">
        <x:v>3151</x:v>
      </x:c>
      <x:c r="D116" s="25" t="n">
        <x:v>35643</x:v>
      </x:c>
      <x:c r="E116" s="25" t="n">
        <x:v>0.2119120449228446</x:v>
      </x:c>
      <x:c r="F116" s="25" t="n">
        <x:v>0.2133211493552645</x:v>
      </x:c>
      <x:c r="G116" s="25" t="n">
        <x:v>-0.006627467512365863</x:v>
      </x:c>
      <x:c r="H116" s="25" t="n">
        <x:v>0.000009338793847393624</x:v>
      </x:c>
      <x:c r="I116" s="30" t="n">
        <x:v>0.08122390060318606</x:v>
      </x:c>
      <x:c r="J116" s="25" t="str">
        <x:v>HOUR_APPR_PROCESS_START</x:v>
      </x:c>
      <x:c r="K116" s="25" t="str">
        <x:v>(11, 13]</x:v>
      </x:c>
      <x:c r="L116" s="35" t="b">
        <x:v>0</x:v>
      </x:c>
    </x:row>
    <x:row r="117" ht="19" customHeight="1">
      <x:c r="A117" s="25" t="str">
        <x:v>B3</x:v>
      </x:c>
      <x:c r="B117" s="28" t="n">
        <x:v>31302</x:v>
      </x:c>
      <x:c r="C117" s="25" t="n">
        <x:v>2412</x:v>
      </x:c>
      <x:c r="D117" s="25" t="n">
        <x:v>28890</x:v>
      </x:c>
      <x:c r="E117" s="25" t="n">
        <x:v>0.17176329299433113</x:v>
      </x:c>
      <x:c r="F117" s="25" t="n">
        <x:v>0.16329915050597354</x:v>
      </x:c>
      <x:c r="G117" s="25" t="n">
        <x:v>0.05053352753693329</x:v>
      </x:c>
      <x:c r="H117" s="25" t="n">
        <x:v>0.00042772297751194504</x:v>
      </x:c>
      <x:c r="I117" s="30" t="n">
        <x:v>0.07705577918343876</x:v>
      </x:c>
      <x:c r="J117" s="25" t="str">
        <x:v>HOUR_APPR_PROCESS_START</x:v>
      </x:c>
      <x:c r="K117" s="25" t="str">
        <x:v>(13, 15]</x:v>
      </x:c>
      <x:c r="L117" s="35" t="b">
        <x:v>0</x:v>
      </x:c>
    </x:row>
    <x:row r="118" ht="19" customHeight="1">
      <x:c r="A118" s="25" t="str">
        <x:v>B4</x:v>
      </x:c>
      <x:c r="B118" s="28" t="n">
        <x:v>29655</x:v>
      </x:c>
      <x:c r="C118" s="25" t="n">
        <x:v>2042</x:v>
      </x:c>
      <x:c r="D118" s="25" t="n">
        <x:v>27613</x:v>
      </x:c>
      <x:c r="E118" s="25" t="n">
        <x:v>0.16417111822567843</x:v>
      </x:c>
      <x:c r="F118" s="25" t="n">
        <x:v>0.1382543066978035</x:v>
      </x:c>
      <x:c r="G118" s="25" t="n">
        <x:v>0.171814496233474</x:v>
      </x:c>
      <x:c r="H118" s="25" t="n">
        <x:v>0.004452883916639721</x:v>
      </x:c>
      <x:c r="I118" s="30" t="n">
        <x:v>0.06885853987523183</x:v>
      </x:c>
      <x:c r="J118" s="25" t="str">
        <x:v>HOUR_APPR_PROCESS_START</x:v>
      </x:c>
      <x:c r="K118" s="25" t="str">
        <x:v>(15, inf]</x:v>
      </x:c>
      <x:c r="L118" s="35" t="b">
        <x:v>0</x:v>
      </x:c>
    </x:row>
    <x:row r="119" ht="19" customHeight="1">
      <x:c r="A119" s="25" t="n">
        <x:v>0</x:v>
      </x:c>
      <x:c r="B119" s="28" t="n">
        <x:v>180222</x:v>
      </x:c>
      <x:c r="C119" s="25" t="n">
        <x:v>14526</x:v>
      </x:c>
      <x:c r="D119" s="25" t="n">
        <x:v>165696</x:v>
      </x:c>
      <x:c r="E119" s="25" t="n">
        <x:v>0.985127647177731</x:v>
      </x:c>
      <x:c r="F119" s="25" t="n">
        <x:v>0.9833807202816138</x:v>
      </x:c>
      <x:c r="G119" s="25" t="n">
        <x:v>0.00177487419773188</x:v>
      </x:c>
      <x:c r="H119" s="25" t="n">
        <x:v>0.0000031005754732422907</x:v>
      </x:c>
      <x:c r="I119" s="30" t="n">
        <x:v>0.08060059260245697</x:v>
      </x:c>
      <x:c r="J119" s="25" t="str">
        <x:v>REG_REGION_NOT_LIVE_REGION</x:v>
      </x:c>
      <x:c r="K119" s="25" t="n">
        <x:v>0</x:v>
      </x:c>
      <x:c r="L119" s="35" t="b">
        <x:v>0</x:v>
      </x:c>
    </x:row>
    <x:row r="120" ht="19" customHeight="1">
      <x:c r="A120" s="25" t="n">
        <x:v>1</x:v>
      </x:c>
      <x:c r="B120" s="28" t="n">
        <x:v>2746</x:v>
      </x:c>
      <x:c r="C120" s="25" t="n">
        <x:v>245</x:v>
      </x:c>
      <x:c r="D120" s="25" t="n">
        <x:v>2501</x:v>
      </x:c>
      <x:c r="E120" s="25" t="n">
        <x:v>0.014872352822268993</x:v>
      </x:c>
      <x:c r="F120" s="25" t="n">
        <x:v>0.016619279718386136</x:v>
      </x:c>
      <x:c r="G120" s="25" t="n">
        <x:v>-0.11105947617773175</x:v>
      </x:c>
      <x:c r="H120" s="25" t="n">
        <x:v>0.00019401278600356074</x:v>
      </x:c>
      <x:c r="I120" s="30" t="n">
        <x:v>0.08922068463219228</x:v>
      </x:c>
      <x:c r="J120" s="25" t="str">
        <x:v>REG_REGION_NOT_LIVE_REGION</x:v>
      </x:c>
      <x:c r="K120" s="25" t="n">
        <x:v>1</x:v>
      </x:c>
      <x:c r="L120" s="35" t="b">
        <x:v>0</x:v>
      </x:c>
    </x:row>
    <x:row r="121" ht="19" customHeight="1">
      <x:c r="A121" s="25" t="n">
        <x:v>0</x:v>
      </x:c>
      <x:c r="B121" s="28" t="n">
        <x:v>173588</x:v>
      </x:c>
      <x:c r="C121" s="25" t="n">
        <x:v>13951</x:v>
      </x:c>
      <x:c r="D121" s="25" t="n">
        <x:v>159637</x:v>
      </x:c>
      <x:c r="E121" s="25" t="n">
        <x:v>0.9491046266899725</x:v>
      </x:c>
      <x:c r="F121" s="25" t="n">
        <x:v>0.9444557270511779</x:v>
      </x:c>
      <x:c r="G121" s="25" t="n">
        <x:v>0.004910230582470085</x:v>
      </x:c>
      <x:c r="H121" s="25" t="n">
        <x:v>0.00002282716918124371</x:v>
      </x:c>
      <x:c r="I121" s="30" t="n">
        <x:v>0.08036845864921538</x:v>
      </x:c>
      <x:c r="J121" s="25" t="str">
        <x:v>REG_REGION_NOT_WORK_REGION</x:v>
      </x:c>
      <x:c r="K121" s="25" t="n">
        <x:v>0</x:v>
      </x:c>
      <x:c r="L121" s="35" t="b">
        <x:v>0</x:v>
      </x:c>
    </x:row>
    <x:row r="122" ht="19" customHeight="1">
      <x:c r="A122" s="25" t="n">
        <x:v>1</x:v>
      </x:c>
      <x:c r="B122" s="28" t="n">
        <x:v>9380</x:v>
      </x:c>
      <x:c r="C122" s="25" t="n">
        <x:v>820</x:v>
      </x:c>
      <x:c r="D122" s="25" t="n">
        <x:v>8560</x:v>
      </x:c>
      <x:c r="E122" s="25" t="n">
        <x:v>0.05089537331002747</x:v>
      </x:c>
      <x:c r="F122" s="25" t="n">
        <x:v>0.055544272948822096</x:v>
      </x:c>
      <x:c r="G122" s="25" t="n">
        <x:v>-0.08740839175668923</x:v>
      </x:c>
      <x:c r="H122" s="25" t="n">
        <x:v>0.00040635284086529174</x:v>
      </x:c>
      <x:c r="I122" s="30" t="n">
        <x:v>0.08742004264392324</x:v>
      </x:c>
      <x:c r="J122" s="25" t="str">
        <x:v>REG_REGION_NOT_WORK_REGION</x:v>
      </x:c>
      <x:c r="K122" s="25" t="n">
        <x:v>1</x:v>
      </x:c>
      <x:c r="L122" s="35" t="b">
        <x:v>0</x:v>
      </x:c>
    </x:row>
    <x:row r="123" ht="19" customHeight="1">
      <x:c r="A123" s="25" t="n">
        <x:v>0</x:v>
      </x:c>
      <x:c r="B123" s="28" t="n">
        <x:v>175408</x:v>
      </x:c>
      <x:c r="C123" s="25" t="n">
        <x:v>14142</x:v>
      </x:c>
      <x:c r="D123" s="25" t="n">
        <x:v>161266</x:v>
      </x:c>
      <x:c r="E123" s="25" t="n">
        <x:v>0.9587896407805087</x:v>
      </x:c>
      <x:c r="F123" s="25" t="n">
        <x:v>0.9573855943677227</x:v>
      </x:c>
      <x:c r="G123" s="25" t="n">
        <x:v>0.001465467915782092</x:v>
      </x:c>
      <x:c r="H123" s="25" t="n">
        <x:v>0.0000020575849702066882</x:v>
      </x:c>
      <x:c r="I123" s="30" t="n">
        <x:v>0.08062346073155158</x:v>
      </x:c>
      <x:c r="J123" s="25" t="str">
        <x:v>LIVE_REGION_NOT_WORK_REGION</x:v>
      </x:c>
      <x:c r="K123" s="25" t="n">
        <x:v>0</x:v>
      </x:c>
      <x:c r="L123" s="35" t="b">
        <x:v>0</x:v>
      </x:c>
    </x:row>
    <x:row r="124" ht="19" customHeight="1">
      <x:c r="A124" s="25" t="n">
        <x:v>1</x:v>
      </x:c>
      <x:c r="B124" s="28" t="n">
        <x:v>7560</x:v>
      </x:c>
      <x:c r="C124" s="25" t="n">
        <x:v>629</x:v>
      </x:c>
      <x:c r="D124" s="25" t="n">
        <x:v>6931</x:v>
      </x:c>
      <x:c r="E124" s="25" t="n">
        <x:v>0.041210359219491316</x:v>
      </x:c>
      <x:c r="F124" s="25" t="n">
        <x:v>0.04261440563227728</x:v>
      </x:c>
      <x:c r="G124" s="25" t="n">
        <x:v>-0.03350269437738713</x:v>
      </x:c>
      <x:c r="H124" s="25" t="n">
        <x:v>0.00004703933785923489</x:v>
      </x:c>
      <x:c r="I124" s="30" t="n">
        <x:v>0.0832010582010582</x:v>
      </x:c>
      <x:c r="J124" s="25" t="str">
        <x:v>LIVE_REGION_NOT_WORK_REGION</x:v>
      </x:c>
      <x:c r="K124" s="25" t="n">
        <x:v>1</x:v>
      </x:c>
      <x:c r="L124" s="35" t="b">
        <x:v>0</x:v>
      </x:c>
    </x:row>
    <x:row r="125" ht="19" customHeight="1">
      <x:c r="A125" s="25" t="n">
        <x:v>0</x:v>
      </x:c>
      <x:c r="B125" s="28" t="n">
        <x:v>168742</x:v>
      </x:c>
      <x:c r="C125" s="25" t="n">
        <x:v>13019</x:v>
      </x:c>
      <x:c r="D125" s="25" t="n">
        <x:v>155723</x:v>
      </x:c>
      <x:c r="E125" s="25" t="n">
        <x:v>0.9258344332275057</x:v>
      </x:c>
      <x:c r="F125" s="25" t="n">
        <x:v>0.8813633901976713</x:v>
      </x:c>
      <x:c r="G125" s="25" t="n">
        <x:v>0.049225405272383345</x:v>
      </x:c>
      <x:c r="H125" s="25" t="n">
        <x:v>0.002189105116029197</x:v>
      </x:c>
      <x:c r="I125" s="30" t="n">
        <x:v>0.07715328726695192</x:v>
      </x:c>
      <x:c r="J125" s="25" t="str">
        <x:v>REG_CITY_NOT_LIVE_CITY</x:v>
      </x:c>
      <x:c r="K125" s="25" t="n">
        <x:v>0</x:v>
      </x:c>
      <x:c r="L125" s="35" t="b">
        <x:v>0</x:v>
      </x:c>
    </x:row>
    <x:row r="126" ht="19" customHeight="1">
      <x:c r="A126" s="25" t="n">
        <x:v>1</x:v>
      </x:c>
      <x:c r="B126" s="28" t="n">
        <x:v>14226</x:v>
      </x:c>
      <x:c r="C126" s="25" t="n">
        <x:v>1752</x:v>
      </x:c>
      <x:c r="D126" s="25" t="n">
        <x:v>12474</x:v>
      </x:c>
      <x:c r="E126" s="25" t="n">
        <x:v>0.07416556677249432</x:v>
      </x:c>
      <x:c r="F126" s="25" t="n">
        <x:v>0.11863660980232874</x:v>
      </x:c>
      <x:c r="G126" s="25" t="n">
        <x:v>-0.46976513912399376</x:v>
      </x:c>
      <x:c r="H126" s="25" t="n">
        <x:v>0.020890945715899275</x:v>
      </x:c>
      <x:c r="I126" s="30" t="n">
        <x:v>0.12315478700970055</x:v>
      </x:c>
      <x:c r="J126" s="25" t="str">
        <x:v>REG_CITY_NOT_LIVE_CITY</x:v>
      </x:c>
      <x:c r="K126" s="25" t="n">
        <x:v>1</x:v>
      </x:c>
      <x:c r="L126" s="35" t="b">
        <x:v>0</x:v>
      </x:c>
    </x:row>
    <x:row r="127" ht="19" customHeight="1">
      <x:c r="A127" s="25" t="n">
        <x:v>0</x:v>
      </x:c>
      <x:c r="B127" s="28" t="n">
        <x:v>140774</x:v>
      </x:c>
      <x:c r="C127" s="25" t="n">
        <x:v>10312</x:v>
      </x:c>
      <x:c r="D127" s="25" t="n">
        <x:v>130462</x:v>
      </x:c>
      <x:c r="E127" s="25" t="n">
        <x:v>0.7756483430242928</x:v>
      </x:c>
      <x:c r="F127" s="25" t="n">
        <x:v>0.6981112916328188</x:v>
      </x:c>
      <x:c r="G127" s="25" t="n">
        <x:v>0.10532071761395458</x:v>
      </x:c>
      <x:c r="H127" s="25" t="n">
        <x:v>0.008166257894220109</x:v>
      </x:c>
      <x:c r="I127" s="30" t="n">
        <x:v>0.07325216304147072</x:v>
      </x:c>
      <x:c r="J127" s="25" t="str">
        <x:v>REG_CITY_NOT_WORK_CITY</x:v>
      </x:c>
      <x:c r="K127" s="25" t="n">
        <x:v>0</x:v>
      </x:c>
      <x:c r="L127" s="35" t="b">
        <x:v>0</x:v>
      </x:c>
    </x:row>
    <x:row r="128" ht="19" customHeight="1">
      <x:c r="A128" s="25" t="n">
        <x:v>1</x:v>
      </x:c>
      <x:c r="B128" s="28" t="n">
        <x:v>42194</x:v>
      </x:c>
      <x:c r="C128" s="25" t="n">
        <x:v>4459</x:v>
      </x:c>
      <x:c r="D128" s="25" t="n">
        <x:v>37735</x:v>
      </x:c>
      <x:c r="E128" s="25" t="n">
        <x:v>0.2243516569757072</x:v>
      </x:c>
      <x:c r="F128" s="25" t="n">
        <x:v>0.3018887083671812</x:v>
      </x:c>
      <x:c r="G128" s="25" t="n">
        <x:v>-0.2968437160483623</x:v>
      </x:c>
      <x:c r="H128" s="25" t="n">
        <x:v>0.023016386466477978</x:v>
      </x:c>
      <x:c r="I128" s="30" t="n">
        <x:v>0.10567853249277148</x:v>
      </x:c>
      <x:c r="J128" s="25" t="str">
        <x:v>REG_CITY_NOT_WORK_CITY</x:v>
      </x:c>
      <x:c r="K128" s="25" t="n">
        <x:v>1</x:v>
      </x:c>
      <x:c r="L128" s="35" t="b">
        <x:v>0</x:v>
      </x:c>
    </x:row>
    <x:row r="129" ht="19" customHeight="1">
      <x:c r="A129" s="25" t="n">
        <x:v>0</x:v>
      </x:c>
      <x:c r="B129" s="28" t="n">
        <x:v>150001</x:v>
      </x:c>
      <x:c r="C129" s="25" t="n">
        <x:v>11490</x:v>
      </x:c>
      <x:c r="D129" s="25" t="n">
        <x:v>138511</x:v>
      </x:c>
      <x:c r="E129" s="25" t="n">
        <x:v>0.8235026575821354</x:v>
      </x:c>
      <x:c r="F129" s="25" t="n">
        <x:v>0.777856756024912</x:v>
      </x:c>
      <x:c r="G129" s="25" t="n">
        <x:v>0.05702438778512176</x:v>
      </x:c>
      <x:c r="H129" s="25" t="n">
        <x:v>0.002602929591200599</x:v>
      </x:c>
      <x:c r="I129" s="30" t="n">
        <x:v>0.07659948933673776</x:v>
      </x:c>
      <x:c r="J129" s="25" t="str">
        <x:v>LIVE_CITY_NOT_WORK_CITY</x:v>
      </x:c>
      <x:c r="K129" s="25" t="n">
        <x:v>0</x:v>
      </x:c>
      <x:c r="L129" s="35" t="b">
        <x:v>0</x:v>
      </x:c>
    </x:row>
    <x:row r="130" ht="19" customHeight="1">
      <x:c r="A130" s="25" t="n">
        <x:v>1</x:v>
      </x:c>
      <x:c r="B130" s="28" t="n">
        <x:v>32967</x:v>
      </x:c>
      <x:c r="C130" s="25" t="n">
        <x:v>3281</x:v>
      </x:c>
      <x:c r="D130" s="25" t="n">
        <x:v>29686</x:v>
      </x:c>
      <x:c r="E130" s="25" t="n">
        <x:v>0.17649734241786466</x:v>
      </x:c>
      <x:c r="F130" s="25" t="n">
        <x:v>0.222143243975088</x:v>
      </x:c>
      <x:c r="G130" s="25" t="n">
        <x:v>-0.2300165977860486</x:v>
      </x:c>
      <x:c r="H130" s="25" t="n">
        <x:v>0.01049931497906941</x:v>
      </x:c>
      <x:c r="I130" s="30" t="n">
        <x:v>0.09952376619043286</x:v>
      </x:c>
      <x:c r="J130" s="25" t="str">
        <x:v>LIVE_CITY_NOT_WORK_CITY</x:v>
      </x:c>
      <x:c r="K130" s="25" t="n">
        <x:v>1</x:v>
      </x:c>
      <x:c r="L130" s="35" t="b">
        <x:v>0</x:v>
      </x:c>
    </x:row>
    <x:row r="131" ht="19" customHeight="1">
      <x:c r="A131" s="25" t="str">
        <x:v>Advertising</x:v>
      </x:c>
      <x:c r="B131" s="28" t="n">
        <x:v>240</x:v>
      </x:c>
      <x:c r="C131" s="25" t="n">
        <x:v>25</x:v>
      </x:c>
      <x:c r="D131" s="25" t="n">
        <x:v>215</x:v>
      </x:c>
      <x:c r="E131" s="25" t="n">
        <x:v>0.0012810490930112977</x:v>
      </x:c>
      <x:c r="F131" s="25" t="n">
        <x:v>0.0017234970092257782</x:v>
      </x:c>
      <x:c r="G131" s="25" t="n">
        <x:v>-0.29667602552744726</x:v>
      </x:c>
      <x:c r="H131" s="25" t="n">
        <x:v>0.00013126368928541307</x:v>
      </x:c>
      <x:c r="I131" s="30" t="n">
        <x:v>0.10416666666666667</x:v>
      </x:c>
      <x:c r="J131" s="25" t="str">
        <x:v>ORGANIZATION_TYPE</x:v>
      </x:c>
      <x:c r="K131" s="25" t="str">
        <x:v>Advertising</x:v>
      </x:c>
      <x:c r="L131" s="35" t="b">
        <x:v>1</x:v>
      </x:c>
    </x:row>
    <x:row r="132" ht="19" customHeight="1">
      <x:c r="A132" s="25" t="str">
        <x:v>Agriculture</x:v>
      </x:c>
      <x:c r="B132" s="28" t="n">
        <x:v>1498</x:v>
      </x:c>
      <x:c r="C132" s="25" t="n">
        <x:v>158</x:v>
      </x:c>
      <x:c r="D132" s="25" t="n">
        <x:v>1340</x:v>
      </x:c>
      <x:c r="E132" s="25" t="n">
        <x:v>0.007968660367432224</x:v>
      </x:c>
      <x:c r="F132" s="25" t="n">
        <x:v>0.010712716704403366</x:v>
      </x:c>
      <x:c r="G132" s="25" t="n">
        <x:v>-0.2959151185481907</x:v>
      </x:c>
      <x:c r="H132" s="25" t="n">
        <x:v>0.0008120077562577294</x:v>
      </x:c>
      <x:c r="I132" s="30" t="n">
        <x:v>0.1054739652870494</x:v>
      </x:c>
      <x:c r="J132" s="25" t="str">
        <x:v>ORGANIZATION_TYPE</x:v>
      </x:c>
      <x:c r="K132" s="25" t="str">
        <x:v>Agriculture</x:v>
      </x:c>
      <x:c r="L132" s="35" t="b">
        <x:v>0</x:v>
      </x:c>
    </x:row>
    <x:row r="133" ht="19" customHeight="1">
      <x:c r="A133" s="25" t="str">
        <x:v>Bank</x:v>
      </x:c>
      <x:c r="B133" s="28" t="n">
        <x:v>1477</x:v>
      </x:c>
      <x:c r="C133" s="25" t="n">
        <x:v>76</x:v>
      </x:c>
      <x:c r="D133" s="25" t="n">
        <x:v>1401</x:v>
      </x:c>
      <x:c r="E133" s="25" t="n">
        <x:v>0.008331277512089716</x:v>
      </x:c>
      <x:c r="F133" s="25" t="n">
        <x:v>0.0051704910276773345</x:v>
      </x:c>
      <x:c r="G133" s="25" t="n">
        <x:v>0.47704914686548355</x:v>
      </x:c>
      <x:c r="H133" s="25" t="n">
        <x:v>0.0015078504958128775</x:v>
      </x:c>
      <x:c r="I133" s="30" t="n">
        <x:v>0.05145565335138795</x:v>
      </x:c>
      <x:c r="J133" s="25" t="str">
        <x:v>ORGANIZATION_TYPE</x:v>
      </x:c>
      <x:c r="K133" s="25" t="str">
        <x:v>Bank</x:v>
      </x:c>
      <x:c r="L133" s="35" t="b">
        <x:v>0</x:v>
      </x:c>
    </x:row>
    <x:row r="134" ht="19" customHeight="1">
      <x:c r="A134" s="25" t="str">
        <x:v>Business Entity Type 1</x:v>
      </x:c>
      <x:c r="B134" s="28" t="n">
        <x:v>3602</x:v>
      </x:c>
      <x:c r="C134" s="25" t="n">
        <x:v>283</x:v>
      </x:c>
      <x:c r="D134" s="25" t="n">
        <x:v>3319</x:v>
      </x:c>
      <x:c r="E134" s="25" t="n">
        <x:v>0.019732911667058015</x:v>
      </x:c>
      <x:c r="F134" s="25" t="n">
        <x:v>0.01916123145551012</x:v>
      </x:c>
      <x:c r="G134" s="25" t="n">
        <x:v>0.029398842084538034</x:v>
      </x:c>
      <x:c r="H134" s="25" t="n">
        <x:v>0.00001680673626215187</x:v>
      </x:c>
      <x:c r="I134" s="30" t="n">
        <x:v>0.07856746252082177</x:v>
      </x:c>
      <x:c r="J134" s="25" t="str">
        <x:v>ORGANIZATION_TYPE</x:v>
      </x:c>
      <x:c r="K134" s="25" t="str">
        <x:v>Business Entity Type 1</x:v>
      </x:c>
      <x:c r="L134" s="35" t="b">
        <x:v>0</x:v>
      </x:c>
    </x:row>
    <x:row r="135" ht="19" customHeight="1">
      <x:c r="A135" s="25" t="str">
        <x:v>Business Entity Type 2</x:v>
      </x:c>
      <x:c r="B135" s="28" t="n">
        <x:v>6217</x:v>
      </x:c>
      <x:c r="C135" s="25" t="n">
        <x:v>526</x:v>
      </x:c>
      <x:c r="D135" s="25" t="n">
        <x:v>5691</x:v>
      </x:c>
      <x:c r="E135" s="25" t="n">
        <x:v>0.03383336850521485</x:v>
      </x:c>
      <x:c r="F135" s="25" t="n">
        <x:v>0.03558514413166165</x:v>
      </x:c>
      <x:c r="G135" s="25" t="n">
        <x:v>-0.05048070171562821</x:v>
      </x:c>
      <x:c r="H135" s="25" t="n">
        <x:v>0.00008843086287136872</x:v>
      </x:c>
      <x:c r="I135" s="30" t="n">
        <x:v>0.08460672350008043</x:v>
      </x:c>
      <x:c r="J135" s="25" t="str">
        <x:v>ORGANIZATION_TYPE</x:v>
      </x:c>
      <x:c r="K135" s="25" t="str">
        <x:v>Business Entity Type 2</x:v>
      </x:c>
      <x:c r="L135" s="35" t="b">
        <x:v>0</x:v>
      </x:c>
    </x:row>
    <x:row r="136" ht="19" customHeight="1">
      <x:c r="A136" s="25" t="str">
        <x:v>Business Entity Type 3</x:v>
      </x:c>
      <x:c r="B136" s="28" t="n">
        <x:v>40408</x:v>
      </x:c>
      <x:c r="C136" s="25" t="n">
        <x:v>3741</x:v>
      </x:c>
      <x:c r="D136" s="25" t="n">
        <x:v>36667</x:v>
      </x:c>
      <x:c r="E136" s="25" t="n">
        <x:v>0.21797154347095943</x:v>
      </x:c>
      <x:c r="F136" s="25" t="n">
        <x:v>0.2528809435301274</x:v>
      </x:c>
      <x:c r="G136" s="25" t="n">
        <x:v>-0.14855427930637224</x:v>
      </x:c>
      <x:c r="H136" s="25" t="n">
        <x:v>0.005185940766807528</x:v>
      </x:c>
      <x:c r="I136" s="30" t="n">
        <x:v>0.09258067709364483</x:v>
      </x:c>
      <x:c r="J136" s="25" t="str">
        <x:v>ORGANIZATION_TYPE</x:v>
      </x:c>
      <x:c r="K136" s="25" t="str">
        <x:v>Business Entity Type 3</x:v>
      </x:c>
      <x:c r="L136" s="35" t="b">
        <x:v>0</x:v>
      </x:c>
    </x:row>
    <x:row r="137" ht="19" customHeight="1">
      <x:c r="A137" s="25" t="str">
        <x:v>Construction</x:v>
      </x:c>
      <x:c r="B137" s="28" t="n">
        <x:v>3986</x:v>
      </x:c>
      <x:c r="C137" s="25" t="n">
        <x:v>491</x:v>
      </x:c>
      <x:c r="D137" s="25" t="n">
        <x:v>3495</x:v>
      </x:c>
      <x:c r="E137" s="25" t="n">
        <x:v>0.0207791512975452</x:v>
      </x:c>
      <x:c r="F137" s="25" t="n">
        <x:v>0.03321956000135176</x:v>
      </x:c>
      <x:c r="G137" s="25" t="n">
        <x:v>-0.46918871654205074</x:v>
      </x:c>
      <x:c r="H137" s="25" t="n">
        <x:v>0.005836899392997558</x:v>
      </x:c>
      <x:c r="I137" s="30" t="n">
        <x:v>0.12318113396889112</x:v>
      </x:c>
      <x:c r="J137" s="25" t="str">
        <x:v>ORGANIZATION_TYPE</x:v>
      </x:c>
      <x:c r="K137" s="25" t="str">
        <x:v>Construction</x:v>
      </x:c>
      <x:c r="L137" s="35" t="b">
        <x:v>0</x:v>
      </x:c>
    </x:row>
    <x:row r="138" ht="19" customHeight="1">
      <x:c r="A138" s="25" t="str">
        <x:v>Culture</x:v>
      </x:c>
      <x:c r="B138" s="28" t="n">
        <x:v>231</x:v>
      </x:c>
      <x:c r="C138" s="25" t="n">
        <x:v>14</x:v>
      </x:c>
      <x:c r="D138" s="25" t="n">
        <x:v>217</x:v>
      </x:c>
      <x:c r="E138" s="25" t="n">
        <x:v>0.0012929381797213793</x:v>
      </x:c>
      <x:c r="F138" s="25" t="n">
        <x:v>0.0009800277111283837</x:v>
      </x:c>
      <x:c r="G138" s="25" t="n">
        <x:v>0.2770917181953406</x:v>
      </x:c>
      <x:c r="H138" s="25" t="n">
        <x:v>0.00008670489938374231</x:v>
      </x:c>
      <x:c r="I138" s="30" t="n">
        <x:v>0.06060606060606061</x:v>
      </x:c>
      <x:c r="J138" s="25" t="str">
        <x:v>ORGANIZATION_TYPE</x:v>
      </x:c>
      <x:c r="K138" s="25" t="str">
        <x:v>Culture</x:v>
      </x:c>
      <x:c r="L138" s="35" t="b">
        <x:v>1</x:v>
      </x:c>
    </x:row>
    <x:row r="139" ht="19" customHeight="1">
      <x:c r="A139" s="25" t="str">
        <x:v>Electricity</x:v>
      </x:c>
      <x:c r="B139" s="28" t="n">
        <x:v>580</x:v>
      </x:c>
      <x:c r="C139" s="25" t="n">
        <x:v>43</x:v>
      </x:c>
      <x:c r="D139" s="25" t="n">
        <x:v>537</x:v>
      </x:c>
      <x:c r="E139" s="25" t="n">
        <x:v>0.003195192053334443</x:v>
      </x:c>
      <x:c r="F139" s="25" t="n">
        <x:v>0.002940083133385151</x:v>
      </x:c>
      <x:c r="G139" s="25" t="n">
        <x:v>0.08320933900031013</x:v>
      </x:c>
      <x:c r="H139" s="25" t="n">
        <x:v>0.000021227444602063626</x:v>
      </x:c>
      <x:c r="I139" s="30" t="n">
        <x:v>0.07413793103448275</x:v>
      </x:c>
      <x:c r="J139" s="25" t="str">
        <x:v>ORGANIZATION_TYPE</x:v>
      </x:c>
      <x:c r="K139" s="25" t="str">
        <x:v>Electricity</x:v>
      </x:c>
      <x:c r="L139" s="35" t="b">
        <x:v>0</x:v>
      </x:c>
    </x:row>
    <x:row r="140" ht="19" customHeight="1">
      <x:c r="A140" s="25" t="str">
        <x:v>Emergency</x:v>
      </x:c>
      <x:c r="B140" s="28" t="n">
        <x:v>330</x:v>
      </x:c>
      <x:c r="C140" s="25" t="n">
        <x:v>20</x:v>
      </x:c>
      <x:c r="D140" s="25" t="n">
        <x:v>310</x:v>
      </x:c>
      <x:c r="E140" s="25" t="n">
        <x:v>0.001845780711740176</x:v>
      </x:c>
      <x:c r="F140" s="25" t="n">
        <x:v>0.0013855564191815079</x:v>
      </x:c>
      <x:c r="G140" s="25" t="n">
        <x:v>0.28680053232230157</x:v>
      </x:c>
      <x:c r="H140" s="25" t="n">
        <x:v>0.00013199257209348063</x:v>
      </x:c>
      <x:c r="I140" s="30" t="n">
        <x:v>0.06060606060606061</x:v>
      </x:c>
      <x:c r="J140" s="25" t="str">
        <x:v>ORGANIZATION_TYPE</x:v>
      </x:c>
      <x:c r="K140" s="25" t="str">
        <x:v>Emergency</x:v>
      </x:c>
      <x:c r="L140" s="35" t="b">
        <x:v>1</x:v>
      </x:c>
    </x:row>
    <x:row r="141" ht="19" customHeight="1">
      <x:c r="A141" s="25" t="str">
        <x:v>Government</x:v>
      </x:c>
      <x:c r="B141" s="28" t="n">
        <x:v>6259</x:v>
      </x:c>
      <x:c r="C141" s="25" t="n">
        <x:v>445</x:v>
      </x:c>
      <x:c r="D141" s="25" t="n">
        <x:v>5814</x:v>
      </x:c>
      <x:c r="E141" s="25" t="n">
        <x:v>0.034564547337884874</x:v>
      </x:c>
      <x:c r="F141" s="25" t="n">
        <x:v>0.030110506572944475</x:v>
      </x:c>
      <x:c r="G141" s="25" t="n">
        <x:v>0.1379543469153646</x:v>
      </x:c>
      <x:c r="H141" s="25" t="n">
        <x:v>0.0006144542848617637</x:v>
      </x:c>
      <x:c r="I141" s="30" t="n">
        <x:v>0.07109761942802365</x:v>
      </x:c>
      <x:c r="J141" s="25" t="str">
        <x:v>ORGANIZATION_TYPE</x:v>
      </x:c>
      <x:c r="K141" s="25" t="str">
        <x:v>Government</x:v>
      </x:c>
      <x:c r="L141" s="35" t="b">
        <x:v>0</x:v>
      </x:c>
    </x:row>
    <x:row r="142" ht="19" customHeight="1">
      <x:c r="A142" s="25" t="str">
        <x:v>Hotel</x:v>
      </x:c>
      <x:c r="B142" s="28" t="n">
        <x:v>589</x:v>
      </x:c>
      <x:c r="C142" s="25" t="n">
        <x:v>40</x:v>
      </x:c>
      <x:c r="D142" s="25" t="n">
        <x:v>549</x:v>
      </x:c>
      <x:c r="E142" s="25" t="n">
        <x:v>0.003266526573594933</x:v>
      </x:c>
      <x:c r="F142" s="25" t="n">
        <x:v>0.002737318779358589</x:v>
      </x:c>
      <x:c r="G142" s="25" t="n">
        <x:v>0.1767483168243133</x:v>
      </x:c>
      <x:c r="H142" s="25" t="n">
        <x:v>0.00009353658688158134</x:v>
      </x:c>
      <x:c r="I142" s="30" t="n">
        <x:v>0.06791171477079797</x:v>
      </x:c>
      <x:c r="J142" s="25" t="str">
        <x:v>ORGANIZATION_TYPE</x:v>
      </x:c>
      <x:c r="K142" s="25" t="str">
        <x:v>Hotel</x:v>
      </x:c>
      <x:c r="L142" s="35" t="b">
        <x:v>0</x:v>
      </x:c>
    </x:row>
    <x:row r="143" ht="19" customHeight="1">
      <x:c r="A143" s="25" t="str">
        <x:v>Housing</x:v>
      </x:c>
      <x:c r="B143" s="28" t="n">
        <x:v>1736</x:v>
      </x:c>
      <x:c r="C143" s="25" t="n">
        <x:v>136</x:v>
      </x:c>
      <x:c r="D143" s="25" t="n">
        <x:v>1600</x:v>
      </x:c>
      <x:c r="E143" s="25" t="n">
        <x:v>0.009514241639742838</x:v>
      </x:c>
      <x:c r="F143" s="25" t="n">
        <x:v>0.009225778108208576</x:v>
      </x:c>
      <x:c r="G143" s="25" t="n">
        <x:v>0.030788261878033935</x:v>
      </x:c>
      <x:c r="H143" s="25" t="n">
        <x:v>0.000008881290751139358</x:v>
      </x:c>
      <x:c r="I143" s="30" t="n">
        <x:v>0.07834101382488479</x:v>
      </x:c>
      <x:c r="J143" s="25" t="str">
        <x:v>ORGANIZATION_TYPE</x:v>
      </x:c>
      <x:c r="K143" s="25" t="str">
        <x:v>Housing</x:v>
      </x:c>
      <x:c r="L143" s="35" t="b">
        <x:v>0</x:v>
      </x:c>
    </x:row>
    <x:row r="144" ht="19" customHeight="1">
      <x:c r="A144" s="25" t="str">
        <x:v>Industry: type 1</x:v>
      </x:c>
      <x:c r="B144" s="28" t="n">
        <x:v>639</x:v>
      </x:c>
      <x:c r="C144" s="25" t="n">
        <x:v>77</x:v>
      </x:c>
      <x:c r="D144" s="25" t="n">
        <x:v>562</x:v>
      </x:c>
      <x:c r="E144" s="25" t="n">
        <x:v>0.0033438056372104637</x:v>
      </x:c>
      <x:c r="F144" s="25" t="n">
        <x:v>0.0052380791456861885</x:v>
      </x:c>
      <x:c r="G144" s="25" t="n">
        <x:v>-0.44884528518759553</x:v>
      </x:c>
      <x:c r="H144" s="25" t="n">
        <x:v>0.0008502357331350938</x:v>
      </x:c>
      <x:c r="I144" s="30" t="n">
        <x:v>0.12050078247261346</x:v>
      </x:c>
      <x:c r="J144" s="25" t="str">
        <x:v>ORGANIZATION_TYPE</x:v>
      </x:c>
      <x:c r="K144" s="25" t="str">
        <x:v>Industry: type 1</x:v>
      </x:c>
      <x:c r="L144" s="35" t="b">
        <x:v>0</x:v>
      </x:c>
    </x:row>
    <x:row r="145" ht="19" customHeight="1">
      <x:c r="A145" s="25" t="str">
        <x:v>Industry: type 11</x:v>
      </x:c>
      <x:c r="B145" s="28" t="n">
        <x:v>1619</x:v>
      </x:c>
      <x:c r="C145" s="25" t="n">
        <x:v>136</x:v>
      </x:c>
      <x:c r="D145" s="25" t="n">
        <x:v>1483</x:v>
      </x:c>
      <x:c r="E145" s="25" t="n">
        <x:v>0.008818730067203063</x:v>
      </x:c>
      <x:c r="F145" s="25" t="n">
        <x:v>0.009225778108208576</x:v>
      </x:c>
      <x:c r="G145" s="25" t="n">
        <x:v>-0.04512365780100713</x:v>
      </x:c>
      <x:c r="H145" s="25" t="n">
        <x:v>0.000018367496510903103</x:v>
      </x:c>
      <x:c r="I145" s="30" t="n">
        <x:v>0.08400247066090179</x:v>
      </x:c>
      <x:c r="J145" s="25" t="str">
        <x:v>ORGANIZATION_TYPE</x:v>
      </x:c>
      <x:c r="K145" s="25" t="str">
        <x:v>Industry: type 11</x:v>
      </x:c>
      <x:c r="L145" s="35" t="b">
        <x:v>0</x:v>
      </x:c>
    </x:row>
    <x:row r="146" ht="19" customHeight="1">
      <x:c r="A146" s="25" t="str">
        <x:v>Industry: type 12</x:v>
      </x:c>
      <x:c r="B146" s="28" t="n">
        <x:v>217</x:v>
      </x:c>
      <x:c r="C146" s="25" t="n">
        <x:v>10</x:v>
      </x:c>
      <x:c r="D146" s="25" t="n">
        <x:v>207</x:v>
      </x:c>
      <x:c r="E146" s="25" t="n">
        <x:v>0.001233492746170971</x:v>
      </x:c>
      <x:c r="F146" s="25" t="n">
        <x:v>0.0007096752390929674</x:v>
      </x:c>
      <x:c r="G146" s="25" t="n">
        <x:v>0.552797599600406</x:v>
      </x:c>
      <x:c r="H146" s="25" t="n">
        <x:v>0.00028956506054138905</x:v>
      </x:c>
      <x:c r="I146" s="30" t="n">
        <x:v>0.04608294930875576</x:v>
      </x:c>
      <x:c r="J146" s="25" t="str">
        <x:v>ORGANIZATION_TYPE</x:v>
      </x:c>
      <x:c r="K146" s="25" t="str">
        <x:v>Industry: type 12</x:v>
      </x:c>
      <x:c r="L146" s="35" t="b">
        <x:v>1</x:v>
      </x:c>
    </x:row>
    <x:row r="147" ht="19" customHeight="1">
      <x:c r="A147" s="25" t="str">
        <x:v>Industry: type 2</x:v>
      </x:c>
      <x:c r="B147" s="28" t="n">
        <x:v>272</x:v>
      </x:c>
      <x:c r="C147" s="25" t="n">
        <x:v>25</x:v>
      </x:c>
      <x:c r="D147" s="25" t="n">
        <x:v>247</x:v>
      </x:c>
      <x:c r="E147" s="25" t="n">
        <x:v>0.001471274480372604</x:v>
      </x:c>
      <x:c r="F147" s="25" t="n">
        <x:v>0.0017234970092257782</x:v>
      </x:c>
      <x:c r="G147" s="25" t="n">
        <x:v>-0.15822635306250482</x:v>
      </x:c>
      <x:c r="H147" s="25" t="n">
        <x:v>0.00003990825090064015</x:v>
      </x:c>
      <x:c r="I147" s="30" t="n">
        <x:v>0.09191176470588236</x:v>
      </x:c>
      <x:c r="J147" s="25" t="str">
        <x:v>ORGANIZATION_TYPE</x:v>
      </x:c>
      <x:c r="K147" s="25" t="str">
        <x:v>Industry: type 2</x:v>
      </x:c>
      <x:c r="L147" s="35" t="b">
        <x:v>1</x:v>
      </x:c>
    </x:row>
    <x:row r="148" ht="19" customHeight="1">
      <x:c r="A148" s="25" t="str">
        <x:v>Industry: type 3</x:v>
      </x:c>
      <x:c r="B148" s="28" t="n">
        <x:v>1971</x:v>
      </x:c>
      <x:c r="C148" s="25" t="n">
        <x:v>202</x:v>
      </x:c>
      <x:c r="D148" s="25" t="n">
        <x:v>1769</x:v>
      </x:c>
      <x:c r="E148" s="25" t="n">
        <x:v>0.010518869466744738</x:v>
      </x:c>
      <x:c r="F148" s="25" t="n">
        <x:v>0.013686593896792944</x:v>
      </x:c>
      <x:c r="G148" s="25" t="n">
        <x:v>-0.26324606966794506</x:v>
      </x:c>
      <x:c r="H148" s="25" t="n">
        <x:v>0.0008338910060013215</x:v>
      </x:c>
      <x:c r="I148" s="30" t="n">
        <x:v>0.10248604769152714</x:v>
      </x:c>
      <x:c r="J148" s="25" t="str">
        <x:v>ORGANIZATION_TYPE</x:v>
      </x:c>
      <x:c r="K148" s="25" t="str">
        <x:v>Industry: type 3</x:v>
      </x:c>
      <x:c r="L148" s="35" t="b">
        <x:v>0</x:v>
      </x:c>
    </x:row>
    <x:row r="149" ht="19" customHeight="1">
      <x:c r="A149" s="25" t="str">
        <x:v>Industry: type 4</x:v>
      </x:c>
      <x:c r="B149" s="28" t="n">
        <x:v>528</x:v>
      </x:c>
      <x:c r="C149" s="25" t="n">
        <x:v>49</x:v>
      </x:c>
      <x:c r="D149" s="25" t="n">
        <x:v>479</x:v>
      </x:c>
      <x:c r="E149" s="25" t="n">
        <x:v>0.0028504085387420753</x:v>
      </x:c>
      <x:c r="F149" s="25" t="n">
        <x:v>0.003345611841438275</x:v>
      </x:c>
      <x:c r="G149" s="25" t="n">
        <x:v>-0.160187258158021</x:v>
      </x:c>
      <x:c r="H149" s="25" t="n">
        <x:v>0.00007932525928970077</x:v>
      </x:c>
      <x:c r="I149" s="30" t="n">
        <x:v>0.0928030303030303</x:v>
      </x:c>
      <x:c r="J149" s="25" t="str">
        <x:v>ORGANIZATION_TYPE</x:v>
      </x:c>
      <x:c r="K149" s="25" t="str">
        <x:v>Industry: type 4</x:v>
      </x:c>
      <x:c r="L149" s="35" t="b">
        <x:v>0</x:v>
      </x:c>
    </x:row>
    <x:row r="150" ht="19" customHeight="1">
      <x:c r="A150" s="25" t="str">
        <x:v>Industry: type 5</x:v>
      </x:c>
      <x:c r="B150" s="28" t="n">
        <x:v>325</x:v>
      </x:c>
      <x:c r="C150" s="25" t="n">
        <x:v>26</x:v>
      </x:c>
      <x:c r="D150" s="25" t="n">
        <x:v>299</x:v>
      </x:c>
      <x:c r="E150" s="25" t="n">
        <x:v>0.0017803907348347269</x:v>
      </x:c>
      <x:c r="F150" s="25" t="n">
        <x:v>0.001791085127234632</x:v>
      </x:c>
      <x:c r="G150" s="25" t="n">
        <x:v>-0.005988798343541832</x:v>
      </x:c>
      <x:c r="H150" s="25" t="n">
        <x:v>6.404655948973871e-8</x:v>
      </x:c>
      <x:c r="I150" s="30" t="n">
        <x:v>0.08</x:v>
      </x:c>
      <x:c r="J150" s="25" t="str">
        <x:v>ORGANIZATION_TYPE</x:v>
      </x:c>
      <x:c r="K150" s="25" t="str">
        <x:v>Industry: type 5</x:v>
      </x:c>
      <x:c r="L150" s="35" t="b">
        <x:v>1</x:v>
      </x:c>
    </x:row>
    <x:row r="151" ht="19" customHeight="1">
      <x:c r="A151" s="25" t="str">
        <x:v>Industry: type 7</x:v>
      </x:c>
      <x:c r="B151" s="28" t="n">
        <x:v>773</x:v>
      </x:c>
      <x:c r="C151" s="25" t="n">
        <x:v>60</x:v>
      </x:c>
      <x:c r="D151" s="25" t="n">
        <x:v>713</x:v>
      </x:c>
      <x:c r="E151" s="25" t="n">
        <x:v>0.004241431683821628</x:v>
      </x:c>
      <x:c r="F151" s="25" t="n">
        <x:v>0.00408908113953567</x:v>
      </x:c>
      <x:c r="G151" s="25" t="n">
        <x:v>0.03658058897322596</x:v>
      </x:c>
      <x:c r="H151" s="25" t="n">
        <x:v>0.0000055730726403718965</x:v>
      </x:c>
      <x:c r="I151" s="30" t="n">
        <x:v>0.07761966364812418</x:v>
      </x:c>
      <x:c r="J151" s="25" t="str">
        <x:v>ORGANIZATION_TYPE</x:v>
      </x:c>
      <x:c r="K151" s="25" t="str">
        <x:v>Industry: type 7</x:v>
      </x:c>
      <x:c r="L151" s="35" t="b">
        <x:v>0</x:v>
      </x:c>
    </x:row>
    <x:row r="152" ht="19" customHeight="1">
      <x:c r="A152" s="25" t="str">
        <x:v>Industry: type 9</x:v>
      </x:c>
      <x:c r="B152" s="28" t="n">
        <x:v>2050</x:v>
      </x:c>
      <x:c r="C152" s="25" t="n">
        <x:v>144</x:v>
      </x:c>
      <x:c r="D152" s="25" t="n">
        <x:v>1906</x:v>
      </x:c>
      <x:c r="E152" s="25" t="n">
        <x:v>0.011333271906385332</x:v>
      </x:c>
      <x:c r="F152" s="25" t="n">
        <x:v>0.00976648305227941</x:v>
      </x:c>
      <x:c r="G152" s="25" t="n">
        <x:v>0.1487863888382623</x:v>
      </x:c>
      <x:c r="H152" s="25" t="n">
        <x:v>0.00023311685567445925</x:v>
      </x:c>
      <x:c r="I152" s="30" t="n">
        <x:v>0.0702439024390244</x:v>
      </x:c>
      <x:c r="J152" s="25" t="str">
        <x:v>ORGANIZATION_TYPE</x:v>
      </x:c>
      <x:c r="K152" s="25" t="str">
        <x:v>Industry: type 9</x:v>
      </x:c>
      <x:c r="L152" s="35" t="b">
        <x:v>0</x:v>
      </x:c>
    </x:row>
    <x:row r="153" ht="19" customHeight="1">
      <x:c r="A153" s="25" t="str">
        <x:v>Insurance</x:v>
      </x:c>
      <x:c r="B153" s="28" t="n">
        <x:v>345</x:v>
      </x:c>
      <x:c r="C153" s="25" t="n">
        <x:v>17</x:v>
      </x:c>
      <x:c r="D153" s="25" t="n">
        <x:v>328</x:v>
      </x:c>
      <x:c r="E153" s="25" t="n">
        <x:v>0.0019527824921309108</x:v>
      </x:c>
      <x:c r="F153" s="25" t="n">
        <x:v>0.0011827920651549457</x:v>
      </x:c>
      <x:c r="G153" s="25" t="n">
        <x:v>0.5013774740883277</x:v>
      </x:c>
      <x:c r="H153" s="25" t="n">
        <x:v>0.0003860558553494023</x:v>
      </x:c>
      <x:c r="I153" s="30" t="n">
        <x:v>0.04927536231884058</x:v>
      </x:c>
      <x:c r="J153" s="25" t="str">
        <x:v>ORGANIZATION_TYPE</x:v>
      </x:c>
      <x:c r="K153" s="25" t="str">
        <x:v>Insurance</x:v>
      </x:c>
      <x:c r="L153" s="35" t="b">
        <x:v>1</x:v>
      </x:c>
    </x:row>
    <x:row r="154" ht="19" customHeight="1">
      <x:c r="A154" s="25" t="str">
        <x:v>Kindergarten</x:v>
      </x:c>
      <x:c r="B154" s="28" t="n">
        <x:v>4163</x:v>
      </x:c>
      <x:c r="C154" s="25" t="n">
        <x:v>300</x:v>
      </x:c>
      <x:c r="D154" s="25" t="n">
        <x:v>3863</x:v>
      </x:c>
      <x:c r="E154" s="25" t="n">
        <x:v>0.022966743252200224</x:v>
      </x:c>
      <x:c r="F154" s="25" t="n">
        <x:v>0.02031022946166064</x:v>
      </x:c>
      <x:c r="G154" s="25" t="n">
        <x:v>0.12292255049150701</x:v>
      </x:c>
      <x:c r="H154" s="25" t="n">
        <x:v>0.00032654545054898676</x:v>
      </x:c>
      <x:c r="I154" s="30" t="n">
        <x:v>0.0720634158059092</x:v>
      </x:c>
      <x:c r="J154" s="25" t="str">
        <x:v>ORGANIZATION_TYPE</x:v>
      </x:c>
      <x:c r="K154" s="25" t="str">
        <x:v>Kindergarten</x:v>
      </x:c>
      <x:c r="L154" s="35" t="b">
        <x:v>0</x:v>
      </x:c>
    </x:row>
    <x:row r="155" ht="19" customHeight="1">
      <x:c r="A155" s="25" t="str">
        <x:v>Legal Services</x:v>
      </x:c>
      <x:c r="B155" s="28" t="n">
        <x:v>185</x:v>
      </x:c>
      <x:c r="C155" s="25" t="n">
        <x:v>16</x:v>
      </x:c>
      <x:c r="D155" s="25" t="n">
        <x:v>169</x:v>
      </x:c>
      <x:c r="E155" s="25" t="n">
        <x:v>0.0010076000986794197</x:v>
      </x:c>
      <x:c r="F155" s="25" t="n">
        <x:v>0.0011152039471460917</x:v>
      </x:c>
      <x:c r="G155" s="25" t="n">
        <x:v>-0.10146593699289945</x:v>
      </x:c>
      <x:c r="H155" s="25" t="n">
        <x:v>0.00001091812530871285</x:v>
      </x:c>
      <x:c r="I155" s="30" t="n">
        <x:v>0.08648648648648649</x:v>
      </x:c>
      <x:c r="J155" s="25" t="str">
        <x:v>ORGANIZATION_TYPE</x:v>
      </x:c>
      <x:c r="K155" s="25" t="str">
        <x:v>Legal Services</x:v>
      </x:c>
      <x:c r="L155" s="35" t="b">
        <x:v>1</x:v>
      </x:c>
    </x:row>
    <x:row r="156" ht="19" customHeight="1">
      <x:c r="A156" s="25" t="str">
        <x:v>Medicine</x:v>
      </x:c>
      <x:c r="B156" s="28" t="n">
        <x:v>6744</x:v>
      </x:c>
      <x:c r="C156" s="25" t="n">
        <x:v>476</x:v>
      </x:c>
      <x:c r="D156" s="25" t="n">
        <x:v>6268</x:v>
      </x:c>
      <x:c r="E156" s="25" t="n">
        <x:v>0.037263370021073404</x:v>
      </x:c>
      <x:c r="F156" s="25" t="n">
        <x:v>0.03220573823121895</x:v>
      </x:c>
      <x:c r="G156" s="25" t="n">
        <x:v>0.1458661645549536</x:v>
      </x:c>
      <x:c r="H156" s="25" t="n">
        <x:v>0.0007377373509172741</x:v>
      </x:c>
      <x:c r="I156" s="30" t="n">
        <x:v>0.07058125741399762</x:v>
      </x:c>
      <x:c r="J156" s="25" t="str">
        <x:v>ORGANIZATION_TYPE</x:v>
      </x:c>
      <x:c r="K156" s="25" t="str">
        <x:v>Medicine</x:v>
      </x:c>
      <x:c r="L156" s="35" t="b">
        <x:v>0</x:v>
      </x:c>
    </x:row>
    <x:row r="157" ht="19" customHeight="1">
      <x:c r="A157" s="25" t="str">
        <x:v>Military</x:v>
      </x:c>
      <x:c r="B157" s="28" t="n">
        <x:v>1570</x:v>
      </x:c>
      <x:c r="C157" s="25" t="n">
        <x:v>77</x:v>
      </x:c>
      <x:c r="D157" s="25" t="n">
        <x:v>1493</x:v>
      </x:c>
      <x:c r="E157" s="25" t="n">
        <x:v>0.00887817550075347</x:v>
      </x:c>
      <x:c r="F157" s="25" t="n">
        <x:v>0.0052380791456861885</x:v>
      </x:c>
      <x:c r="G157" s="25" t="n">
        <x:v>0.5276412183899938</x:v>
      </x:c>
      <x:c r="H157" s="25" t="n">
        <x:v>0.001920664875844676</x:v>
      </x:c>
      <x:c r="I157" s="30" t="n">
        <x:v>0.04904458598726115</x:v>
      </x:c>
      <x:c r="J157" s="25" t="str">
        <x:v>ORGANIZATION_TYPE</x:v>
      </x:c>
      <x:c r="K157" s="25" t="str">
        <x:v>Military</x:v>
      </x:c>
      <x:c r="L157" s="35" t="b">
        <x:v>0</x:v>
      </x:c>
    </x:row>
    <x:row r="158" ht="19" customHeight="1">
      <x:c r="A158" s="25" t="str">
        <x:v>Other</x:v>
      </x:c>
      <x:c r="B158" s="28" t="n">
        <x:v>9914</x:v>
      </x:c>
      <x:c r="C158" s="25" t="n">
        <x:v>751</x:v>
      </x:c>
      <x:c r="D158" s="25" t="n">
        <x:v>9163</x:v>
      </x:c>
      <x:c r="E158" s="25" t="n">
        <x:v>0.054472823033916595</x:v>
      </x:c>
      <x:c r="F158" s="25" t="n">
        <x:v>0.05079247068365381</x:v>
      </x:c>
      <x:c r="G158" s="25" t="n">
        <x:v>0.06995378865803281</x:v>
      </x:c>
      <x:c r="H158" s="25" t="n">
        <x:v>0.000257454590497377</x:v>
      </x:c>
      <x:c r="I158" s="30" t="n">
        <x:v>0.07575146257817228</x:v>
      </x:c>
      <x:c r="J158" s="25" t="str">
        <x:v>ORGANIZATION_TYPE</x:v>
      </x:c>
      <x:c r="K158" s="25" t="str">
        <x:v>Other</x:v>
      </x:c>
      <x:c r="L158" s="35" t="b">
        <x:v>0</x:v>
      </x:c>
    </x:row>
    <x:row r="159" ht="19" customHeight="1">
      <x:c r="A159" s="25" t="str">
        <x:v>Police</x:v>
      </x:c>
      <x:c r="B159" s="28" t="n">
        <x:v>1377</x:v>
      </x:c>
      <x:c r="C159" s="25" t="n">
        <x:v>72</x:v>
      </x:c>
      <x:c r="D159" s="25" t="n">
        <x:v>1305</x:v>
      </x:c>
      <x:c r="E159" s="25" t="n">
        <x:v>0.007760601350005796</x:v>
      </x:c>
      <x:c r="F159" s="25" t="n">
        <x:v>0.004900138555641918</x:v>
      </x:c>
      <x:c r="G159" s="25" t="n">
        <x:v>0.4597963433716851</x:v>
      </x:c>
      <x:c r="H159" s="25" t="n">
        <x:v>0.0013152303331992635</x:v>
      </x:c>
      <x:c r="I159" s="30" t="n">
        <x:v>0.05228758169934641</x:v>
      </x:c>
      <x:c r="J159" s="25" t="str">
        <x:v>ORGANIZATION_TYPE</x:v>
      </x:c>
      <x:c r="K159" s="25" t="str">
        <x:v>Police</x:v>
      </x:c>
      <x:c r="L159" s="35" t="b">
        <x:v>0</x:v>
      </x:c>
    </x:row>
    <x:row r="160" ht="19" customHeight="1">
      <x:c r="A160" s="25" t="str">
        <x:v>Postal</x:v>
      </x:c>
      <x:c r="B160" s="28" t="n">
        <x:v>1271</x:v>
      </x:c>
      <x:c r="C160" s="25" t="n">
        <x:v>106</x:v>
      </x:c>
      <x:c r="D160" s="25" t="n">
        <x:v>1165</x:v>
      </x:c>
      <x:c r="E160" s="25" t="n">
        <x:v>0.006928365280300081</x:v>
      </x:c>
      <x:c r="F160" s="25" t="n">
        <x:v>0.007198134567942956</x:v>
      </x:c>
      <x:c r="G160" s="25" t="n">
        <x:v>-0.03819800958053741</x:v>
      </x:c>
      <x:c r="H160" s="25" t="n">
        <x:v>0.0000103046498339173</x:v>
      </x:c>
      <x:c r="I160" s="30" t="n">
        <x:v>0.08339889850511409</x:v>
      </x:c>
      <x:c r="J160" s="25" t="str">
        <x:v>ORGANIZATION_TYPE</x:v>
      </x:c>
      <x:c r="K160" s="25" t="str">
        <x:v>Postal</x:v>
      </x:c>
      <x:c r="L160" s="35" t="b">
        <x:v>0</x:v>
      </x:c>
    </x:row>
    <x:row r="161" ht="19" customHeight="1">
      <x:c r="A161" s="25" t="str">
        <x:v>Realtor</x:v>
      </x:c>
      <x:c r="B161" s="28" t="n">
        <x:v>238</x:v>
      </x:c>
      <x:c r="C161" s="25" t="n">
        <x:v>31</x:v>
      </x:c>
      <x:c r="D161" s="25" t="n">
        <x:v>207</x:v>
      </x:c>
      <x:c r="E161" s="25" t="n">
        <x:v>0.001233492746170971</x:v>
      </x:c>
      <x:c r="F161" s="25" t="n">
        <x:v>0.002129025717278902</x:v>
      </x:c>
      <x:c r="G161" s="25" t="n">
        <x:v>-0.5458146890677036</x:v>
      </x:c>
      <x:c r="H161" s="25" t="n">
        <x:v>0.0004887950501751522</x:v>
      </x:c>
      <x:c r="I161" s="30" t="n">
        <x:v>0.13025210084033614</x:v>
      </x:c>
      <x:c r="J161" s="25" t="str">
        <x:v>ORGANIZATION_TYPE</x:v>
      </x:c>
      <x:c r="K161" s="25" t="str">
        <x:v>Realtor</x:v>
      </x:c>
      <x:c r="L161" s="35" t="b">
        <x:v>1</x:v>
      </x:c>
    </x:row>
    <x:row r="162" ht="19" customHeight="1">
      <x:c r="A162" s="25" t="str">
        <x:v>Restaurant</x:v>
      </x:c>
      <x:c r="B162" s="28" t="n">
        <x:v>1093</x:v>
      </x:c>
      <x:c r="C162" s="25" t="n">
        <x:v>120</x:v>
      </x:c>
      <x:c r="D162" s="25" t="n">
        <x:v>973</x:v>
      </x:c>
      <x:c r="E162" s="25" t="n">
        <x:v>0.005787012956132242</x:v>
      </x:c>
      <x:c r="F162" s="25" t="n">
        <x:v>0.008144368220066912</x:v>
      </x:c>
      <x:c r="G162" s="25" t="n">
        <x:v>-0.3417104110253247</x:v>
      </x:c>
      <x:c r="H162" s="25" t="n">
        <x:v>0.0008055328361718287</x:v>
      </x:c>
      <x:c r="I162" s="30" t="n">
        <x:v>0.10978956999085086</x:v>
      </x:c>
      <x:c r="J162" s="25" t="str">
        <x:v>ORGANIZATION_TYPE</x:v>
      </x:c>
      <x:c r="K162" s="25" t="str">
        <x:v>Restaurant</x:v>
      </x:c>
      <x:c r="L162" s="35" t="b">
        <x:v>0</x:v>
      </x:c>
    </x:row>
    <x:row r="163" ht="19" customHeight="1">
      <x:c r="A163" s="25" t="str">
        <x:v>School</x:v>
      </x:c>
      <x:c r="B163" s="28" t="n">
        <x:v>5375</x:v>
      </x:c>
      <x:c r="C163" s="25" t="n">
        <x:v>317</x:v>
      </x:c>
      <x:c r="D163" s="25" t="n">
        <x:v>5058</x:v>
      </x:c>
      <x:c r="E163" s="25" t="n">
        <x:v>0.03007047256147401</x:v>
      </x:c>
      <x:c r="F163" s="25" t="n">
        <x:v>0.02145922746781116</x:v>
      </x:c>
      <x:c r="G163" s="25" t="n">
        <x:v>0.3373889744063294</x:v>
      </x:c>
      <x:c r="H163" s="25" t="n">
        <x:v>0.0029053391505124457</x:v>
      </x:c>
      <x:c r="I163" s="30" t="n">
        <x:v>0.05897674418604651</x:v>
      </x:c>
      <x:c r="J163" s="25" t="str">
        <x:v>ORGANIZATION_TYPE</x:v>
      </x:c>
      <x:c r="K163" s="25" t="str">
        <x:v>School</x:v>
      </x:c>
      <x:c r="L163" s="35" t="b">
        <x:v>0</x:v>
      </x:c>
    </x:row>
    <x:row r="164" ht="19" customHeight="1">
      <x:c r="A164" s="25" t="str">
        <x:v>Security</x:v>
      </x:c>
      <x:c r="B164" s="28" t="n">
        <x:v>1961</x:v>
      </x:c>
      <x:c r="C164" s="25" t="n">
        <x:v>207</x:v>
      </x:c>
      <x:c r="D164" s="25" t="n">
        <x:v>1754</x:v>
      </x:c>
      <x:c r="E164" s="25" t="n">
        <x:v>0.010429701316419127</x:v>
      </x:c>
      <x:c r="F164" s="25" t="n">
        <x:v>0.014024534486837215</x:v>
      </x:c>
      <x:c r="G164" s="25" t="n">
        <x:v>-0.29615062755435256</x:v>
      </x:c>
      <x:c r="H164" s="25" t="n">
        <x:v>0.0010646120993725197</x:v>
      </x:c>
      <x:c r="I164" s="30" t="n">
        <x:v>0.1055583885772565</x:v>
      </x:c>
      <x:c r="J164" s="25" t="str">
        <x:v>ORGANIZATION_TYPE</x:v>
      </x:c>
      <x:c r="K164" s="25" t="str">
        <x:v>Security</x:v>
      </x:c>
      <x:c r="L164" s="35" t="b">
        <x:v>0</x:v>
      </x:c>
    </x:row>
    <x:row r="165" ht="19" customHeight="1">
      <x:c r="A165" s="25" t="str">
        <x:v>Security Ministries</x:v>
      </x:c>
      <x:c r="B165" s="28" t="n">
        <x:v>1190</x:v>
      </x:c>
      <x:c r="C165" s="25" t="n">
        <x:v>61</x:v>
      </x:c>
      <x:c r="D165" s="25" t="n">
        <x:v>1129</x:v>
      </x:c>
      <x:c r="E165" s="25" t="n">
        <x:v>0.006714361719518611</x:v>
      </x:c>
      <x:c r="F165" s="25" t="n">
        <x:v>0.004156669257544524</x:v>
      </x:c>
      <x:c r="G165" s="25" t="n">
        <x:v>0.4795346781887163</x:v>
      </x:c>
      <x:c r="H165" s="25" t="n">
        <x:v>0.0012265022316584493</x:v>
      </x:c>
      <x:c r="I165" s="30" t="n">
        <x:v>0.05126050420168067</x:v>
      </x:c>
      <x:c r="J165" s="25" t="str">
        <x:v>ORGANIZATION_TYPE</x:v>
      </x:c>
      <x:c r="K165" s="25" t="str">
        <x:v>Security Ministries</x:v>
      </x:c>
      <x:c r="L165" s="35" t="b">
        <x:v>0</x:v>
      </x:c>
    </x:row>
    <x:row r="166" ht="19" customHeight="1">
      <x:c r="A166" s="25" t="str">
        <x:v>Self-employed</x:v>
      </x:c>
      <x:c r="B166" s="28" t="n">
        <x:v>22607</x:v>
      </x:c>
      <x:c r="C166" s="25" t="n">
        <x:v>2298</x:v>
      </x:c>
      <x:c r="D166" s="25" t="n">
        <x:v>20309</x:v>
      </x:c>
      <x:c r="E166" s="25" t="n">
        <x:v>0.12073070326920161</x:v>
      </x:c>
      <x:c r="F166" s="25" t="n">
        <x:v>0.155351289243351</x:v>
      </x:c>
      <x:c r="G166" s="25" t="n">
        <x:v>-0.25212646229633384</x:v>
      </x:c>
      <x:c r="H166" s="25" t="n">
        <x:v>0.008728765864288363</x:v>
      </x:c>
      <x:c r="I166" s="30" t="n">
        <x:v>0.10164993143716548</x:v>
      </x:c>
      <x:c r="J166" s="25" t="str">
        <x:v>ORGANIZATION_TYPE</x:v>
      </x:c>
      <x:c r="K166" s="25" t="str">
        <x:v>Self-employed</x:v>
      </x:c>
      <x:c r="L166" s="35" t="b">
        <x:v>0</x:v>
      </x:c>
    </x:row>
    <x:row r="167" ht="19" customHeight="1">
      <x:c r="A167" s="25" t="str">
        <x:v>Services</x:v>
      </x:c>
      <x:c r="B167" s="28" t="n">
        <x:v>918</x:v>
      </x:c>
      <x:c r="C167" s="25" t="n">
        <x:v>52</x:v>
      </x:c>
      <x:c r="D167" s="25" t="n">
        <x:v>866</x:v>
      </x:c>
      <x:c r="E167" s="25" t="n">
        <x:v>0.005150946817142874</x:v>
      </x:c>
      <x:c r="F167" s="25" t="n">
        <x:v>0.0035483761954648372</x:v>
      </x:c>
      <x:c r="G167" s="25" t="n">
        <x:v>0.3726904566512134</x:v>
      </x:c>
      <x:c r="H167" s="25" t="n">
        <x:v>0.0005972627768090065</x:v>
      </x:c>
      <x:c r="I167" s="30" t="n">
        <x:v>0.05664488017429194</x:v>
      </x:c>
      <x:c r="J167" s="25" t="str">
        <x:v>ORGANIZATION_TYPE</x:v>
      </x:c>
      <x:c r="K167" s="25" t="str">
        <x:v>Services</x:v>
      </x:c>
      <x:c r="L167" s="35" t="b">
        <x:v>0</x:v>
      </x:c>
    </x:row>
    <x:row r="168" ht="19" customHeight="1">
      <x:c r="A168" s="25" t="str">
        <x:v>Telecom</x:v>
      </x:c>
      <x:c r="B168" s="28" t="n">
        <x:v>340</x:v>
      </x:c>
      <x:c r="C168" s="25" t="n">
        <x:v>28</x:v>
      </x:c>
      <x:c r="D168" s="25" t="n">
        <x:v>312</x:v>
      </x:c>
      <x:c r="E168" s="25" t="n">
        <x:v>0.0018576697984502575</x:v>
      </x:c>
      <x:c r="F168" s="25" t="n">
        <x:v>0.0019262613632523402</x:v>
      </x:c>
      <x:c r="G168" s="25" t="n">
        <x:v>-0.036258101005018056</x:v>
      </x:c>
      <x:c r="H168" s="25" t="n">
        <x:v>0.0000024869998846861565</x:v>
      </x:c>
      <x:c r="I168" s="30" t="n">
        <x:v>0.08235294117647059</x:v>
      </x:c>
      <x:c r="J168" s="25" t="str">
        <x:v>ORGANIZATION_TYPE</x:v>
      </x:c>
      <x:c r="K168" s="25" t="str">
        <x:v>Telecom</x:v>
      </x:c>
      <x:c r="L168" s="35" t="b">
        <x:v>1</x:v>
      </x:c>
    </x:row>
    <x:row r="169" ht="19" customHeight="1">
      <x:c r="A169" s="25" t="str">
        <x:v>Trade: type 1</x:v>
      </x:c>
      <x:c r="B169" s="28" t="n">
        <x:v>199</x:v>
      </x:c>
      <x:c r="C169" s="25" t="n">
        <x:v>19</x:v>
      </x:c>
      <x:c r="D169" s="25" t="n">
        <x:v>180</x:v>
      </x:c>
      <x:c r="E169" s="25" t="n">
        <x:v>0.0010729900755848687</x:v>
      </x:c>
      <x:c r="F169" s="25" t="n">
        <x:v>0.0013179683011726537</x:v>
      </x:c>
      <x:c r="G169" s="25" t="n">
        <x:v>-0.20564217070363489</x:v>
      </x:c>
      <x:c r="H169" s="25" t="n">
        <x:v>0.000050377854084996875</x:v>
      </x:c>
      <x:c r="I169" s="30" t="n">
        <x:v>0.09547738693467336</x:v>
      </x:c>
      <x:c r="J169" s="25" t="str">
        <x:v>ORGANIZATION_TYPE</x:v>
      </x:c>
      <x:c r="K169" s="25" t="str">
        <x:v>Trade: type 1</x:v>
      </x:c>
      <x:c r="L169" s="35" t="b">
        <x:v>1</x:v>
      </x:c>
    </x:row>
    <x:row r="170" ht="19" customHeight="1">
      <x:c r="A170" s="25" t="str">
        <x:v>Trade: type 2</x:v>
      </x:c>
      <x:c r="B170" s="28" t="n">
        <x:v>1125</x:v>
      </x:c>
      <x:c r="C170" s="25" t="n">
        <x:v>69</x:v>
      </x:c>
      <x:c r="D170" s="25" t="n">
        <x:v>1056</x:v>
      </x:c>
      <x:c r="E170" s="25" t="n">
        <x:v>0.006280410054600631</x:v>
      </x:c>
      <x:c r="F170" s="25" t="n">
        <x:v>0.004697374201615356</x:v>
      </x:c>
      <x:c r="G170" s="25" t="n">
        <x:v>0.29043160157849546</x:v>
      </x:c>
      <x:c r="H170" s="25" t="n">
        <x:v>0.00045976363813869295</x:v>
      </x:c>
      <x:c r="I170" s="30" t="n">
        <x:v>0.06133333333333333</x:v>
      </x:c>
      <x:c r="J170" s="25" t="str">
        <x:v>ORGANIZATION_TYPE</x:v>
      </x:c>
      <x:c r="K170" s="25" t="str">
        <x:v>Trade: type 2</x:v>
      </x:c>
      <x:c r="L170" s="35" t="b">
        <x:v>0</x:v>
      </x:c>
    </x:row>
    <x:row r="171" ht="19" customHeight="1">
      <x:c r="A171" s="25" t="str">
        <x:v>Trade: type 3</x:v>
      </x:c>
      <x:c r="B171" s="28" t="n">
        <x:v>2084</x:v>
      </x:c>
      <x:c r="C171" s="25" t="n">
        <x:v>209</x:v>
      </x:c>
      <x:c r="D171" s="25" t="n">
        <x:v>1875</x:v>
      </x:c>
      <x:c r="E171" s="25" t="n">
        <x:v>0.011148991062379066</x:v>
      </x:c>
      <x:c r="F171" s="25" t="n">
        <x:v>0.014159710722854922</x:v>
      </x:c>
      <x:c r="G171" s="25" t="n">
        <x:v>-0.23905165274711973</x:v>
      </x:c>
      <x:c r="H171" s="25" t="n">
        <x:v>0.0007197175107950006</x:v>
      </x:c>
      <x:c r="I171" s="30" t="n">
        <x:v>0.10028790786948176</x:v>
      </x:c>
      <x:c r="J171" s="25" t="str">
        <x:v>ORGANIZATION_TYPE</x:v>
      </x:c>
      <x:c r="K171" s="25" t="str">
        <x:v>Trade: type 3</x:v>
      </x:c>
      <x:c r="L171" s="35" t="b">
        <x:v>0</x:v>
      </x:c>
    </x:row>
    <x:row r="172" ht="19" customHeight="1">
      <x:c r="A172" s="25" t="str">
        <x:v>Trade: type 6</x:v>
      </x:c>
      <x:c r="B172" s="28" t="n">
        <x:v>376</x:v>
      </x:c>
      <x:c r="C172" s="25" t="n">
        <x:v>14</x:v>
      </x:c>
      <x:c r="D172" s="25" t="n">
        <x:v>362</x:v>
      </x:c>
      <x:c r="E172" s="25" t="n">
        <x:v>0.0021548969662022986</x:v>
      </x:c>
      <x:c r="F172" s="25" t="n">
        <x:v>0.0009800277111283837</x:v>
      </x:c>
      <x:c r="G172" s="25" t="n">
        <x:v>0.7879173419613313</x:v>
      </x:c>
      <x:c r="H172" s="25" t="n">
        <x:v>0.0009256998606099285</x:v>
      </x:c>
      <x:c r="I172" s="30" t="n">
        <x:v>0.03723404255319149</x:v>
      </x:c>
      <x:c r="J172" s="25" t="str">
        <x:v>ORGANIZATION_TYPE</x:v>
      </x:c>
      <x:c r="K172" s="25" t="str">
        <x:v>Trade: type 6</x:v>
      </x:c>
      <x:c r="L172" s="35" t="b">
        <x:v>1</x:v>
      </x:c>
    </x:row>
    <x:row r="173" ht="19" customHeight="1">
      <x:c r="A173" s="25" t="str">
        <x:v>Trade: type 7</x:v>
      </x:c>
      <x:c r="B173" s="28" t="n">
        <x:v>4676</x:v>
      </x:c>
      <x:c r="C173" s="25" t="n">
        <x:v>443</x:v>
      </x:c>
      <x:c r="D173" s="25" t="n">
        <x:v>4233</x:v>
      </x:c>
      <x:c r="E173" s="25" t="n">
        <x:v>0.02516622429356533</x:v>
      </x:c>
      <x:c r="F173" s="25" t="n">
        <x:v>0.02997533033692677</x:v>
      </x:c>
      <x:c r="G173" s="25" t="n">
        <x:v>-0.1748719315741716</x:v>
      </x:c>
      <x:c r="H173" s="25" t="n">
        <x:v>0.0008409776629476369</x:v>
      </x:c>
      <x:c r="I173" s="30" t="n">
        <x:v>0.09473909324208725</x:v>
      </x:c>
      <x:c r="J173" s="25" t="str">
        <x:v>ORGANIZATION_TYPE</x:v>
      </x:c>
      <x:c r="K173" s="25" t="str">
        <x:v>Trade: type 7</x:v>
      </x:c>
      <x:c r="L173" s="35" t="b">
        <x:v>0</x:v>
      </x:c>
    </x:row>
    <x:row r="174" ht="19" customHeight="1">
      <x:c r="A174" s="25" t="str">
        <x:v>Transport: type 2</x:v>
      </x:c>
      <x:c r="B174" s="28" t="n">
        <x:v>1304</x:v>
      </x:c>
      <x:c r="C174" s="25" t="n">
        <x:v>101</x:v>
      </x:c>
      <x:c r="D174" s="25" t="n">
        <x:v>1203</x:v>
      </x:c>
      <x:c r="E174" s="25" t="n">
        <x:v>0.0071542579277916315</x:v>
      </x:c>
      <x:c r="F174" s="25" t="n">
        <x:v>0.006860193977898685</x:v>
      </x:c>
      <x:c r="G174" s="25" t="n">
        <x:v>0.041971975834415205</x:v>
      </x:c>
      <x:c r="H174" s="25" t="n">
        <x:v>0.000012342444998679422</x:v>
      </x:c>
      <x:c r="I174" s="30" t="n">
        <x:v>0.07745398773006135</x:v>
      </x:c>
      <x:c r="J174" s="25" t="str">
        <x:v>ORGANIZATION_TYPE</x:v>
      </x:c>
      <x:c r="K174" s="25" t="str">
        <x:v>Transport: type 2</x:v>
      </x:c>
      <x:c r="L174" s="35" t="b">
        <x:v>0</x:v>
      </x:c>
    </x:row>
    <x:row r="175" ht="19" customHeight="1">
      <x:c r="A175" s="25" t="str">
        <x:v>Transport: type 3</x:v>
      </x:c>
      <x:c r="B175" s="28" t="n">
        <x:v>716</x:v>
      </x:c>
      <x:c r="C175" s="25" t="n">
        <x:v>115</x:v>
      </x:c>
      <x:c r="D175" s="25" t="n">
        <x:v>601</x:v>
      </x:c>
      <x:c r="E175" s="25" t="n">
        <x:v>0.0035756428280570556</x:v>
      </x:c>
      <x:c r="F175" s="25" t="n">
        <x:v>0.007806427630022642</x:v>
      </x:c>
      <x:c r="G175" s="25" t="n">
        <x:v>-0.780802477453984</x:v>
      </x:c>
      <x:c r="H175" s="25" t="n">
        <x:v>0.003303407254949393</x:v>
      </x:c>
      <x:c r="I175" s="30" t="n">
        <x:v>0.16061452513966482</x:v>
      </x:c>
      <x:c r="J175" s="25" t="str">
        <x:v>ORGANIZATION_TYPE</x:v>
      </x:c>
      <x:c r="K175" s="25" t="str">
        <x:v>Transport: type 3</x:v>
      </x:c>
      <x:c r="L175" s="35" t="b">
        <x:v>0</x:v>
      </x:c>
    </x:row>
    <x:row r="176" ht="19" customHeight="1">
      <x:c r="A176" s="25" t="str">
        <x:v>Transport: type 4</x:v>
      </x:c>
      <x:c r="B176" s="28" t="n">
        <x:v>3177</x:v>
      </x:c>
      <x:c r="C176" s="25" t="n">
        <x:v>282</x:v>
      </x:c>
      <x:c r="D176" s="25" t="n">
        <x:v>2895</x:v>
      </x:c>
      <x:c r="E176" s="25" t="n">
        <x:v>0.017212425284520706</x:v>
      </x:c>
      <x:c r="F176" s="25" t="n">
        <x:v>0.019093643337501267</x:v>
      </x:c>
      <x:c r="G176" s="25" t="n">
        <x:v>-0.10372394682752052</x:v>
      </x:c>
      <x:c r="H176" s="25" t="n">
        <x:v>0.00019512736129832743</x:v>
      </x:c>
      <x:c r="I176" s="30" t="n">
        <x:v>0.08876298394711993</x:v>
      </x:c>
      <x:c r="J176" s="25" t="str">
        <x:v>ORGANIZATION_TYPE</x:v>
      </x:c>
      <x:c r="K176" s="25" t="str">
        <x:v>Transport: type 4</x:v>
      </x:c>
      <x:c r="L176" s="35" t="b">
        <x:v>0</x:v>
      </x:c>
    </x:row>
    <x:row r="177" ht="19" customHeight="1">
      <x:c r="A177" s="25" t="str">
        <x:v>University</x:v>
      </x:c>
      <x:c r="B177" s="28" t="n">
        <x:v>779</x:v>
      </x:c>
      <x:c r="C177" s="25" t="n">
        <x:v>41</x:v>
      </x:c>
      <x:c r="D177" s="25" t="n">
        <x:v>738</x:v>
      </x:c>
      <x:c r="E177" s="25" t="n">
        <x:v>0.004390045267697648</x:v>
      </x:c>
      <x:c r="F177" s="25" t="n">
        <x:v>0.0028049068973674427</x:v>
      </x:c>
      <x:c r="G177" s="25" t="n">
        <x:v>0.4479691918279125</x:v>
      </x:c>
      <x:c r="H177" s="25" t="n">
        <x:v>0.0007100931546922364</x:v>
      </x:c>
      <x:c r="I177" s="30" t="n">
        <x:v>0.05263157894736842</x:v>
      </x:c>
      <x:c r="J177" s="25" t="str">
        <x:v>ORGANIZATION_TYPE</x:v>
      </x:c>
      <x:c r="K177" s="25" t="str">
        <x:v>University</x:v>
      </x:c>
      <x:c r="L177" s="35" t="b">
        <x:v>0</x:v>
      </x:c>
    </x:row>
    <x:row r="178" ht="19" customHeight="1">
      <x:c r="A178" s="25" t="str">
        <x:v>XNA</x:v>
      </x:c>
      <x:c r="B178" s="28" t="n">
        <x:v>32936</x:v>
      </x:c>
      <x:c r="C178" s="25" t="n">
        <x:v>1766</x:v>
      </x:c>
      <x:c r="D178" s="25" t="n">
        <x:v>31170</x:v>
      </x:c>
      <x:c r="E178" s="25" t="n">
        <x:v>0.1852943886483</x:v>
      </x:c>
      <x:c r="F178" s="25" t="n">
        <x:v>0.11939441046264067</x:v>
      </x:c>
      <x:c r="G178" s="25" t="n">
        <x:v>0.43951346399178365</x:v>
      </x:c>
      <x:c r="H178" s="25" t="n">
        <x:v>0.02896392768936211</x:v>
      </x:c>
      <x:c r="I178" s="30" t="n">
        <x:v>0.053619140150595095</x:v>
      </x:c>
      <x:c r="J178" s="25" t="str">
        <x:v>ORGANIZATION_TYPE</x:v>
      </x:c>
      <x:c r="K178" s="25" t="str">
        <x:v>XNA</x:v>
      </x:c>
      <x:c r="L178" s="35" t="b">
        <x:v>0</x:v>
      </x:c>
    </x:row>
    <x:row r="179" ht="19" customHeight="1">
      <x:c r="A179" s="25" t="str">
        <x:v>__OTHER__</x:v>
      </x:c>
      <x:c r="B179" s="28" t="n">
        <x:v>758</x:v>
      </x:c>
      <x:c r="C179" s="25" t="n">
        <x:v>56</x:v>
      </x:c>
      <x:c r="D179" s="25" t="n">
        <x:v>702</x:v>
      </x:c>
      <x:c r="E179" s="25" t="n">
        <x:v>0.004176041706916179</x:v>
      </x:c>
      <x:c r="F179" s="25" t="n">
        <x:v>0.0038187286675002534</x:v>
      </x:c>
      <x:c r="G179" s="25" t="n">
        <x:v>0.08944628014863623</x:v>
      </x:c>
      <x:c r="H179" s="25" t="n">
        <x:v>0.000031960322224357615</x:v>
      </x:c>
      <x:c r="I179" s="30" t="n">
        <x:v>0.07387862796833773</x:v>
      </x:c>
      <x:c r="J179" s="25" t="str">
        <x:v>ORGANIZATION_TYPE</x:v>
      </x:c>
      <x:c r="K179" s="25" t="str">
        <x:v>__OTHER__</x:v>
      </x:c>
      <x:c r="L179" s="35" t="b">
        <x:v>0</x:v>
      </x:c>
    </x:row>
    <x:row r="180" ht="19" customHeight="1">
      <x:c r="A180" s="25" t="str">
        <x:v>B0</x:v>
      </x:c>
      <x:c r="B180" s="28" t="n">
        <x:v>36594</x:v>
      </x:c>
      <x:c r="C180" s="25" t="n">
        <x:v>5552</x:v>
      </x:c>
      <x:c r="D180" s="25" t="n">
        <x:v>31042</x:v>
      </x:c>
      <x:c r="E180" s="25" t="n">
        <x:v>0.1845576235363363</x:v>
      </x:c>
      <x:c r="F180" s="25" t="n">
        <x:v>0.3758418790401733</x:v>
      </x:c>
      <x:c r="G180" s="25" t="n">
        <x:v>-0.7112067830646799</x:v>
      </x:c>
      <x:c r="H180" s="25" t="n">
        <x:v>0.13604266000780618</x:v>
      </x:c>
      <x:c r="I180" s="30" t="n">
        <x:v>0.15171886101546703</x:v>
      </x:c>
      <x:c r="J180" s="25" t="str">
        <x:v>EXT_SOURCE_2</x:v>
      </x:c>
      <x:c r="K180" s="25" t="str">
        <x:v>(-inf, 0.34040766]</x:v>
      </x:c>
      <x:c r="L180" s="35" t="b">
        <x:v>0</x:v>
      </x:c>
    </x:row>
    <x:row r="181" ht="19" customHeight="1">
      <x:c r="A181" s="25" t="str">
        <x:v>B1</x:v>
      </x:c>
      <x:c r="B181" s="28" t="n">
        <x:v>36593</x:v>
      </x:c>
      <x:c r="C181" s="25" t="n">
        <x:v>3338</x:v>
      </x:c>
      <x:c r="D181" s="25" t="n">
        <x:v>33255</x:v>
      </x:c>
      <x:c r="E181" s="25" t="n">
        <x:v>0.1977146186522552</x:v>
      </x:c>
      <x:c r="F181" s="25" t="n">
        <x:v>0.22597894879344774</x:v>
      </x:c>
      <x:c r="G181" s="25" t="n">
        <x:v>-0.13361717694649328</x:v>
      </x:c>
      <x:c r="H181" s="25" t="n">
        <x:v>0.003776600001749826</x:v>
      </x:c>
      <x:c r="I181" s="30" t="n">
        <x:v>0.09121963217008718</x:v>
      </x:c>
      <x:c r="J181" s="25" t="str">
        <x:v>EXT_SOURCE_2</x:v>
      </x:c>
      <x:c r="K181" s="25" t="str">
        <x:v>(0.34040766, 0.51254468]</x:v>
      </x:c>
      <x:c r="L181" s="35" t="b">
        <x:v>0</x:v>
      </x:c>
    </x:row>
    <x:row r="182" ht="19" customHeight="1">
      <x:c r="A182" s="25" t="str">
        <x:v>B2</x:v>
      </x:c>
      <x:c r="B182" s="28" t="n">
        <x:v>36594</x:v>
      </x:c>
      <x:c r="C182" s="25" t="n">
        <x:v>2610</x:v>
      </x:c>
      <x:c r="D182" s="25" t="n">
        <x:v>33984</x:v>
      </x:c>
      <x:c r="E182" s="25" t="n">
        <x:v>0.2020487575765683</x:v>
      </x:c>
      <x:c r="F182" s="25" t="n">
        <x:v>0.17670152638169695</x:v>
      </x:c>
      <x:c r="G182" s="25" t="n">
        <x:v>0.13404702486170336</x:v>
      </x:c>
      <x:c r="H182" s="25" t="n">
        <x:v>0.0033977209301542612</x:v>
      </x:c>
      <x:c r="I182" s="30" t="n">
        <x:v>0.07132316773241515</x:v>
      </x:c>
      <x:c r="J182" s="25" t="str">
        <x:v>EXT_SOURCE_2</x:v>
      </x:c>
      <x:c r="K182" s="25" t="str">
        <x:v>(0.51254468, 0.60808412]</x:v>
      </x:c>
      <x:c r="L182" s="35" t="b">
        <x:v>0</x:v>
      </x:c>
    </x:row>
    <x:row r="183" ht="19" customHeight="1">
      <x:c r="A183" s="25" t="str">
        <x:v>B3</x:v>
      </x:c>
      <x:c r="B183" s="28" t="n">
        <x:v>36595</x:v>
      </x:c>
      <x:c r="C183" s="25" t="n">
        <x:v>1989</x:v>
      </x:c>
      <x:c r="D183" s="25" t="n">
        <x:v>34606</x:v>
      </x:c>
      <x:c r="E183" s="25" t="n">
        <x:v>0.20574674716631144</x:v>
      </x:c>
      <x:c r="F183" s="25" t="n">
        <x:v>0.13466680204420076</x:v>
      </x:c>
      <x:c r="G183" s="25" t="n">
        <x:v>0.4238424352196953</x:v>
      </x:c>
      <x:c r="H183" s="25" t="n">
        <x:v>0.030126697035837695</x:v>
      </x:c>
      <x:c r="I183" s="30" t="n">
        <x:v>0.05435168738898757</x:v>
      </x:c>
      <x:c r="J183" s="25" t="str">
        <x:v>EXT_SOURCE_2</x:v>
      </x:c>
      <x:c r="K183" s="25" t="str">
        <x:v>(0.60808412, 0.68199766]</x:v>
      </x:c>
      <x:c r="L183" s="35" t="b">
        <x:v>0</x:v>
      </x:c>
    </x:row>
    <x:row r="184" ht="19" customHeight="1">
      <x:c r="A184" s="25" t="str">
        <x:v>B4</x:v>
      </x:c>
      <x:c r="B184" s="28" t="n">
        <x:v>36592</x:v>
      </x:c>
      <x:c r="C184" s="25" t="n">
        <x:v>1282</x:v>
      </x:c>
      <x:c r="D184" s="25" t="n">
        <x:v>35310</x:v>
      </x:c>
      <x:c r="E184" s="25" t="n">
        <x:v>0.20993225306852875</x:v>
      </x:c>
      <x:c r="F184" s="25" t="n">
        <x:v>0.08681084374048127</x:v>
      </x:c>
      <x:c r="G184" s="25" t="n">
        <x:v>0.8830533324846911</x:v>
      </x:c>
      <x:c r="H184" s="25" t="n">
        <x:v>0.10872277080734406</x:v>
      </x:c>
      <x:c r="I184" s="30" t="n">
        <x:v>0.03503498032356799</x:v>
      </x:c>
      <x:c r="J184" s="25" t="str">
        <x:v>EXT_SOURCE_2</x:v>
      </x:c>
      <x:c r="K184" s="25" t="str">
        <x:v>(0.68199766, inf]</x:v>
      </x:c>
      <x:c r="L184" s="35" t="b">
        <x:v>0</x:v>
      </x:c>
    </x:row>
    <x:row r="185" ht="19" customHeight="1">
      <x:c r="A185" s="25" t="n">
        <x:v>0</x:v>
      </x:c>
      <x:c r="B185" s="28" t="n">
        <x:v>90083</x:v>
      </x:c>
      <x:c r="C185" s="25" t="n">
        <x:v>6322</x:v>
      </x:c>
      <x:c r="D185" s="25" t="n">
        <x:v>83761</x:v>
      </x:c>
      <x:c r="E185" s="25" t="n">
        <x:v>0.4979934363072094</x:v>
      </x:c>
      <x:c r="F185" s="25" t="n">
        <x:v>0.42800568643379366</x:v>
      </x:c>
      <x:c r="G185" s="25" t="n">
        <x:v>0.1514504152779858</x:v>
      </x:c>
      <x:c r="H185" s="25" t="n">
        <x:v>0.01059967378270061</x:v>
      </x:c>
      <x:c r="I185" s="30" t="n">
        <x:v>0.07017972314421145</x:v>
      </x:c>
      <x:c r="J185" s="25" t="str">
        <x:v>APARTMENTS_AVG__MISSING</x:v>
      </x:c>
      <x:c r="K185" s="25" t="n">
        <x:v>0</x:v>
      </x:c>
      <x:c r="L185" s="35" t="b">
        <x:v>0</x:v>
      </x:c>
    </x:row>
    <x:row r="186" ht="19" customHeight="1">
      <x:c r="A186" s="25" t="n">
        <x:v>1</x:v>
      </x:c>
      <x:c r="B186" s="28" t="n">
        <x:v>92885</x:v>
      </x:c>
      <x:c r="C186" s="25" t="n">
        <x:v>8449</x:v>
      </x:c>
      <x:c r="D186" s="25" t="n">
        <x:v>84436</x:v>
      </x:c>
      <x:c r="E186" s="25" t="n">
        <x:v>0.5020065636927906</x:v>
      </x:c>
      <x:c r="F186" s="25" t="n">
        <x:v>0.5719943135662063</x:v>
      </x:c>
      <x:c r="G186" s="25" t="n">
        <x:v>-0.13051585532107024</x:v>
      </x:c>
      <x:c r="H186" s="25" t="n">
        <x:v>0.009134511036725978</x:v>
      </x:c>
      <x:c r="I186" s="30" t="n">
        <x:v>0.0909619421865748</x:v>
      </x:c>
      <x:c r="J186" s="25" t="str">
        <x:v>APARTMENTS_AVG__MISSING</x:v>
      </x:c>
      <x:c r="K186" s="25" t="n">
        <x:v>1</x:v>
      </x:c>
      <x:c r="L186" s="35" t="b">
        <x:v>0</x:v>
      </x:c>
    </x:row>
    <x:row r="187" ht="19" customHeight="1">
      <x:c r="A187" s="25" t="str">
        <x:v>B0</x:v>
      </x:c>
      <x:c r="B187" s="28" t="n">
        <x:v>18081</x:v>
      </x:c>
      <x:c r="C187" s="25" t="n">
        <x:v>1591</x:v>
      </x:c>
      <x:c r="D187" s="25" t="n">
        <x:v>16490</x:v>
      </x:c>
      <x:c r="E187" s="25" t="n">
        <x:v>0.0980410225921522</x:v>
      </x:c>
      <x:c r="F187" s="25" t="n">
        <x:v>0.10772302693921755</x:v>
      </x:c>
      <x:c r="G187" s="25" t="n">
        <x:v>-0.094177378653576</x:v>
      </x:c>
      <x:c r="H187" s="25" t="n">
        <x:v>0.000911825789519143</x:v>
      </x:c>
      <x:c r="I187" s="30" t="n">
        <x:v>0.08799292074553398</x:v>
      </x:c>
      <x:c r="J187" s="25" t="str">
        <x:v>APARTMENTS_AVG</x:v>
      </x:c>
      <x:c r="K187" s="25" t="str">
        <x:v>(-inf, 0.041200001]</x:v>
      </x:c>
      <x:c r="L187" s="35" t="b">
        <x:v>0</x:v>
      </x:c>
    </x:row>
    <x:row r="188" ht="19" customHeight="1">
      <x:c r="A188" s="25" t="str">
        <x:v>B1</x:v>
      </x:c>
      <x:c r="B188" s="28" t="n">
        <x:v>18234</x:v>
      </x:c>
      <x:c r="C188" s="25" t="n">
        <x:v>1272</x:v>
      </x:c>
      <x:c r="D188" s="25" t="n">
        <x:v>16962</x:v>
      </x:c>
      <x:c r="E188" s="25" t="n">
        <x:v>0.10084720570749109</x:v>
      </x:c>
      <x:c r="F188" s="25" t="n">
        <x:v>0.0861310410180046</x:v>
      </x:c>
      <x:c r="G188" s="25" t="n">
        <x:v>0.1577366872861451</x:v>
      </x:c>
      <x:c r="H188" s="25" t="n">
        <x:v>0.0023212790676769403</x:v>
      </x:c>
      <x:c r="I188" s="30" t="n">
        <x:v>0.06975978940440934</x:v>
      </x:c>
      <x:c r="J188" s="25" t="str">
        <x:v>APARTMENTS_AVG</x:v>
      </x:c>
      <x:c r="K188" s="25" t="str">
        <x:v>(0.041200001, 0.074199997]</x:v>
      </x:c>
      <x:c r="L188" s="35" t="b">
        <x:v>0</x:v>
      </x:c>
    </x:row>
    <x:row r="189" ht="19" customHeight="1">
      <x:c r="A189" s="25" t="str">
        <x:v>B2</x:v>
      </x:c>
      <x:c r="B189" s="28" t="n">
        <x:v>17871</x:v>
      </x:c>
      <x:c r="C189" s="25" t="n">
        <x:v>1212</x:v>
      </x:c>
      <x:c r="D189" s="25" t="n">
        <x:v>16659</x:v>
      </x:c>
      <x:c r="E189" s="25" t="n">
        <x:v>0.09904577883472057</x:v>
      </x:c>
      <x:c r="F189" s="25" t="n">
        <x:v>0.08206985244348179</x:v>
      </x:c>
      <x:c r="G189" s="25" t="n">
        <x:v>0.18801141202172267</x:v>
      </x:c>
      <x:c r="H189" s="25" t="n">
        <x:v>0.0031916678911936298</x:v>
      </x:c>
      <x:c r="I189" s="30" t="n">
        <x:v>0.06781937216719826</x:v>
      </x:c>
      <x:c r="J189" s="25" t="str">
        <x:v>APARTMENTS_AVG</x:v>
      </x:c>
      <x:c r="K189" s="25" t="str">
        <x:v>(0.074199997, 0.1041]</x:v>
      </x:c>
      <x:c r="L189" s="35" t="b">
        <x:v>0</x:v>
      </x:c>
    </x:row>
    <x:row r="190" ht="19" customHeight="1">
      <x:c r="A190" s="25" t="str">
        <x:v>B3</x:v>
      </x:c>
      <x:c r="B190" s="28" t="n">
        <x:v>17912</x:v>
      </x:c>
      <x:c r="C190" s="25" t="n">
        <x:v>1179</x:v>
      </x:c>
      <x:c r="D190" s="25" t="n">
        <x:v>16733</x:v>
      </x:c>
      <x:c r="E190" s="25" t="n">
        <x:v>0.09948573127229489</x:v>
      </x:c>
      <x:c r="F190" s="25" t="n">
        <x:v>0.07983619872749424</x:v>
      </x:c>
      <x:c r="G190" s="25" t="n">
        <x:v>0.22003720984144012</x:v>
      </x:c>
      <x:c r="H190" s="25" t="n">
        <x:v>0.0043236283158465064</x:v>
      </x:c>
      <x:c r="I190" s="30" t="n">
        <x:v>0.06582179544439482</x:v>
      </x:c>
      <x:c r="J190" s="25" t="str">
        <x:v>APARTMENTS_AVG</x:v>
      </x:c>
      <x:c r="K190" s="25" t="str">
        <x:v>(0.1041, 0.16599999]</x:v>
      </x:c>
      <x:c r="L190" s="35" t="b">
        <x:v>0</x:v>
      </x:c>
    </x:row>
    <x:row r="191" ht="19" customHeight="1">
      <x:c r="A191" s="25" t="str">
        <x:v>B4</x:v>
      </x:c>
      <x:c r="B191" s="28" t="n">
        <x:v>17985</x:v>
      </x:c>
      <x:c r="C191" s="25" t="n">
        <x:v>1068</x:v>
      </x:c>
      <x:c r="D191" s="25" t="n">
        <x:v>16917</x:v>
      </x:c>
      <x:c r="E191" s="25" t="n">
        <x:v>0.10057966706302021</x:v>
      </x:c>
      <x:c r="F191" s="25" t="n">
        <x:v>0.07232299986462705</x:v>
      </x:c>
      <x:c r="G191" s="25" t="n">
        <x:v>0.32980792491487654</x:v>
      </x:c>
      <x:c r="H191" s="25" t="n">
        <x:v>0.009319272773712306</x:v>
      </x:c>
      <x:c r="I191" s="30" t="n">
        <x:v>0.059382819015846536</x:v>
      </x:c>
      <x:c r="J191" s="25" t="str">
        <x:v>APARTMENTS_AVG</x:v>
      </x:c>
      <x:c r="K191" s="25" t="str">
        <x:v>(0.16599999, inf]</x:v>
      </x:c>
      <x:c r="L191" s="35" t="b">
        <x:v>0</x:v>
      </x:c>
    </x:row>
    <x:row r="192" ht="19" customHeight="1">
      <x:c r="A192" s="25" t="str">
        <x:v>Missing</x:v>
      </x:c>
      <x:c r="B192" s="28" t="n">
        <x:v>92885</x:v>
      </x:c>
      <x:c r="C192" s="25" t="n">
        <x:v>8449</x:v>
      </x:c>
      <x:c r="D192" s="25" t="n">
        <x:v>84436</x:v>
      </x:c>
      <x:c r="E192" s="25" t="n">
        <x:v>0.5020005945303211</x:v>
      </x:c>
      <x:c r="F192" s="25" t="n">
        <x:v>0.5719168810071747</x:v>
      </x:c>
      <x:c r="G192" s="25" t="n">
        <x:v>-0.13039236388195558</x:v>
      </x:c>
      <x:c r="H192" s="25" t="n">
        <x:v>0.009116549867564952</x:v>
      </x:c>
      <x:c r="I192" s="30" t="n">
        <x:v>0.0909619421865748</x:v>
      </x:c>
      <x:c r="J192" s="25" t="str">
        <x:v>APARTMENTS_AVG</x:v>
      </x:c>
      <x:c r="K192" s="25" t="str">
        <x:v>Missing</x:v>
      </x:c>
      <x:c r="L192" s="35" t="b">
        <x:v>0</x:v>
      </x:c>
    </x:row>
    <x:row r="193" ht="19" customHeight="1">
      <x:c r="A193" s="25" t="n">
        <x:v>0</x:v>
      </x:c>
      <x:c r="B193" s="28" t="n">
        <x:v>75847</x:v>
      </x:c>
      <x:c r="C193" s="25" t="n">
        <x:v>5295</x:v>
      </x:c>
      <x:c r="D193" s="25" t="n">
        <x:v>70552</x:v>
      </x:c>
      <x:c r="E193" s="25" t="n">
        <x:v>0.41946099240181217</x:v>
      </x:c>
      <x:c r="F193" s="25" t="n">
        <x:v>0.358482263742215</x:v>
      </x:c>
      <x:c r="G193" s="25" t="n">
        <x:v>0.1570913503590763</x:v>
      </x:c>
      <x:c r="H193" s="25" t="n">
        <x:v>0.009579230828315828</x:v>
      </x:c>
      <x:c r="I193" s="30" t="n">
        <x:v>0.06981159439397736</x:v>
      </x:c>
      <x:c r="J193" s="25" t="str">
        <x:v>BASEMENTAREA_AVG__MISSING</x:v>
      </x:c>
      <x:c r="K193" s="25" t="n">
        <x:v>0</x:v>
      </x:c>
      <x:c r="L193" s="35" t="b">
        <x:v>0</x:v>
      </x:c>
    </x:row>
    <x:row r="194" ht="19" customHeight="1">
      <x:c r="A194" s="25" t="n">
        <x:v>1</x:v>
      </x:c>
      <x:c r="B194" s="28" t="n">
        <x:v>107121</x:v>
      </x:c>
      <x:c r="C194" s="25" t="n">
        <x:v>9476</x:v>
      </x:c>
      <x:c r="D194" s="25" t="n">
        <x:v>97645</x:v>
      </x:c>
      <x:c r="E194" s="25" t="n">
        <x:v>0.5805390075981879</x:v>
      </x:c>
      <x:c r="F194" s="25" t="n">
        <x:v>0.641517736257785</x:v>
      </x:c>
      <x:c r="G194" s="25" t="n">
        <x:v>-0.09987983634410638</x:v>
      </x:c>
      <x:c r="H194" s="25" t="n">
        <x:v>0.006090545438992226</x:v>
      </x:c>
      <x:c r="I194" s="30" t="n">
        <x:v>0.08846071265204769</x:v>
      </x:c>
      <x:c r="J194" s="25" t="str">
        <x:v>BASEMENTAREA_AVG__MISSING</x:v>
      </x:c>
      <x:c r="K194" s="25" t="n">
        <x:v>1</x:v>
      </x:c>
      <x:c r="L194" s="35" t="b">
        <x:v>0</x:v>
      </x:c>
    </x:row>
    <x:row r="195" ht="19" customHeight="1">
      <x:c r="A195" s="25" t="str">
        <x:v>B0</x:v>
      </x:c>
      <x:c r="B195" s="28" t="n">
        <x:v>15172</x:v>
      </x:c>
      <x:c r="C195" s="25" t="n">
        <x:v>1178</x:v>
      </x:c>
      <x:c r="D195" s="25" t="n">
        <x:v>13994</x:v>
      </x:c>
      <x:c r="E195" s="25" t="n">
        <x:v>0.08320154577883472</x:v>
      </x:c>
      <x:c r="F195" s="25" t="n">
        <x:v>0.0797685122512522</x:v>
      </x:c>
      <x:c r="G195" s="25" t="n">
        <x:v>0.04213708345746694</x:v>
      </x:c>
      <x:c r="H195" s="25" t="n">
        <x:v>0.00014465802026402682</x:v>
      </x:c>
      <x:c r="I195" s="30" t="n">
        <x:v>0.07764302662799895</x:v>
      </x:c>
      <x:c r="J195" s="25" t="str">
        <x:v>BASEMENTAREA_AVG</x:v>
      </x:c>
      <x:c r="K195" s="25" t="str">
        <x:v>(-inf, 0.034000002]</x:v>
      </x:c>
      <x:c r="L195" s="35" t="b">
        <x:v>0</x:v>
      </x:c>
    </x:row>
    <x:row r="196" ht="19" customHeight="1">
      <x:c r="A196" s="25" t="str">
        <x:v>B1</x:v>
      </x:c>
      <x:c r="B196" s="28" t="n">
        <x:v>15218</x:v>
      </x:c>
      <x:c r="C196" s="25" t="n">
        <x:v>1109</x:v>
      </x:c>
      <x:c r="D196" s="25" t="n">
        <x:v>14109</x:v>
      </x:c>
      <x:c r="E196" s="25" t="n">
        <x:v>0.08388525564803805</x:v>
      </x:c>
      <x:c r="F196" s="25" t="n">
        <x:v>0.07509814539055097</x:v>
      </x:c>
      <x:c r="G196" s="25" t="n">
        <x:v>0.11065399755295297</x:v>
      </x:c>
      <x:c r="H196" s="25" t="n">
        <x:v>0.0009723288769295026</x:v>
      </x:c>
      <x:c r="I196" s="30" t="n">
        <x:v>0.07287422788802733</x:v>
      </x:c>
      <x:c r="J196" s="25" t="str">
        <x:v>BASEMENTAREA_AVG</x:v>
      </x:c>
      <x:c r="K196" s="25" t="str">
        <x:v>(0.034000002, 0.063600004]</x:v>
      </x:c>
      <x:c r="L196" s="35" t="b">
        <x:v>0</x:v>
      </x:c>
    </x:row>
    <x:row r="197" ht="19" customHeight="1">
      <x:c r="A197" s="25" t="str">
        <x:v>B2</x:v>
      </x:c>
      <x:c r="B197" s="28" t="n">
        <x:v>15126</x:v>
      </x:c>
      <x:c r="C197" s="25" t="n">
        <x:v>1060</x:v>
      </x:c>
      <x:c r="D197" s="25" t="n">
        <x:v>14066</x:v>
      </x:c>
      <x:c r="E197" s="25" t="n">
        <x:v>0.08362960760998811</x:v>
      </x:c>
      <x:c r="F197" s="25" t="n">
        <x:v>0.07178150805469068</x:v>
      </x:c>
      <x:c r="G197" s="25" t="n">
        <x:v>0.1527707205075302</x:v>
      </x:c>
      <x:c r="H197" s="25" t="n">
        <x:v>0.0018100427057077372</x:v>
      </x:c>
      <x:c r="I197" s="30" t="n">
        <x:v>0.07007801137114901</x:v>
      </x:c>
      <x:c r="J197" s="25" t="str">
        <x:v>BASEMENTAREA_AVG</x:v>
      </x:c>
      <x:c r="K197" s="25" t="str">
        <x:v>(0.063600004, 0.085900001]</x:v>
      </x:c>
      <x:c r="L197" s="35" t="b">
        <x:v>0</x:v>
      </x:c>
    </x:row>
    <x:row r="198" ht="19" customHeight="1">
      <x:c r="A198" s="25" t="str">
        <x:v>B3</x:v>
      </x:c>
      <x:c r="B198" s="28" t="n">
        <x:v>15188</x:v>
      </x:c>
      <x:c r="C198" s="25" t="n">
        <x:v>1029</x:v>
      </x:c>
      <x:c r="D198" s="25" t="n">
        <x:v>14159</x:v>
      </x:c>
      <x:c r="E198" s="25" t="n">
        <x:v>0.08418252080856124</x:v>
      </x:c>
      <x:c r="F198" s="25" t="n">
        <x:v>0.06968322729118723</x:v>
      </x:c>
      <x:c r="G198" s="25" t="n">
        <x:v>0.18902766098966292</x:v>
      </x:c>
      <x:c r="H198" s="25" t="n">
        <x:v>0.0027407675395917925</x:v>
      </x:c>
      <x:c r="I198" s="30" t="n">
        <x:v>0.06775085593889914</x:v>
      </x:c>
      <x:c r="J198" s="25" t="str">
        <x:v>BASEMENTAREA_AVG</x:v>
      </x:c>
      <x:c r="K198" s="25" t="str">
        <x:v>(0.085900001, 0.1245]</x:v>
      </x:c>
      <x:c r="L198" s="35" t="b">
        <x:v>0</x:v>
      </x:c>
    </x:row>
    <x:row r="199" ht="19" customHeight="1">
      <x:c r="A199" s="25" t="str">
        <x:v>B4</x:v>
      </x:c>
      <x:c r="B199" s="28" t="n">
        <x:v>15143</x:v>
      </x:c>
      <x:c r="C199" s="25" t="n">
        <x:v>919</x:v>
      </x:c>
      <x:c r="D199" s="25" t="n">
        <x:v>14224</x:v>
      </x:c>
      <x:c r="E199" s="25" t="n">
        <x:v>0.08456896551724138</x:v>
      </x:c>
      <x:c r="F199" s="25" t="n">
        <x:v>0.06223771490456207</x:v>
      </x:c>
      <x:c r="G199" s="25" t="n">
        <x:v>0.3066061965152145</x:v>
      </x:c>
      <x:c r="H199" s="25" t="n">
        <x:v>0.0068468998137816576</x:v>
      </x:c>
      <x:c r="I199" s="30" t="n">
        <x:v>0.060688106715974376</x:v>
      </x:c>
      <x:c r="J199" s="25" t="str">
        <x:v>BASEMENTAREA_AVG</x:v>
      </x:c>
      <x:c r="K199" s="25" t="str">
        <x:v>(0.1245, inf]</x:v>
      </x:c>
      <x:c r="L199" s="35" t="b">
        <x:v>0</x:v>
      </x:c>
    </x:row>
    <x:row r="200" ht="19" customHeight="1">
      <x:c r="A200" s="25" t="str">
        <x:v>Missing</x:v>
      </x:c>
      <x:c r="B200" s="28" t="n">
        <x:v>107121</x:v>
      </x:c>
      <x:c r="C200" s="25" t="n">
        <x:v>9476</x:v>
      </x:c>
      <x:c r="D200" s="25" t="n">
        <x:v>97645</x:v>
      </x:c>
      <x:c r="E200" s="25" t="n">
        <x:v>0.5805321046373365</x:v>
      </x:c>
      <x:c r="F200" s="25" t="n">
        <x:v>0.6414308921077568</x:v>
      </x:c>
      <x:c r="G200" s="25" t="n">
        <x:v>-0.09975634490499195</x:v>
      </x:c>
      <x:c r="H200" s="25" t="n">
        <x:v>0.006075040447195052</x:v>
      </x:c>
      <x:c r="I200" s="30" t="n">
        <x:v>0.08846071265204769</x:v>
      </x:c>
      <x:c r="J200" s="25" t="str">
        <x:v>BASEMENTAREA_AVG</x:v>
      </x:c>
      <x:c r="K200" s="25" t="str">
        <x:v>Missing</x:v>
      </x:c>
      <x:c r="L200" s="35" t="b">
        <x:v>0</x:v>
      </x:c>
    </x:row>
    <x:row r="201" ht="19" customHeight="1">
      <x:c r="A201" s="25" t="n">
        <x:v>0</x:v>
      </x:c>
      <x:c r="B201" s="28" t="n">
        <x:v>93672</x:v>
      </x:c>
      <x:c r="C201" s="25" t="n">
        <x:v>6603</x:v>
      </x:c>
      <x:c r="D201" s="25" t="n">
        <x:v>87069</x:v>
      </x:c>
      <x:c r="E201" s="25" t="n">
        <x:v>0.5176607331835099</x:v>
      </x:c>
      <x:c r="F201" s="25" t="n">
        <x:v>0.4470281613864067</x:v>
      </x:c>
      <x:c r="G201" s="25" t="n">
        <x:v>0.14669847894486818</x:v>
      </x:c>
      <x:c r="H201" s="25" t="n">
        <x:v>0.010361690846599233</x:v>
      </x:c>
      <x:c r="I201" s="30" t="n">
        <x:v>0.07049064821931847</x:v>
      </x:c>
      <x:c r="J201" s="25" t="str">
        <x:v>YEARS_BEGINEXPLUATATION_AVG__MISSING</x:v>
      </x:c>
      <x:c r="K201" s="25" t="n">
        <x:v>0</x:v>
      </x:c>
      <x:c r="L201" s="35" t="b">
        <x:v>0</x:v>
      </x:c>
    </x:row>
    <x:row r="202" ht="19" customHeight="1">
      <x:c r="A202" s="25" t="n">
        <x:v>1</x:v>
      </x:c>
      <x:c r="B202" s="28" t="n">
        <x:v>89296</x:v>
      </x:c>
      <x:c r="C202" s="25" t="n">
        <x:v>8168</x:v>
      </x:c>
      <x:c r="D202" s="25" t="n">
        <x:v>81128</x:v>
      </x:c>
      <x:c r="E202" s="25" t="n">
        <x:v>0.4823392668164901</x:v>
      </x:c>
      <x:c r="F202" s="25" t="n">
        <x:v>0.5529718386135933</x:v>
      </x:c>
      <x:c r="G202" s="25" t="n">
        <x:v>-0.13665933596485308</x:v>
      </x:c>
      <x:c r="H202" s="25" t="n">
        <x:v>0.00965260035928194</x:v>
      </x:c>
      <x:c r="I202" s="30" t="n">
        <x:v>0.09147106253359613</x:v>
      </x:c>
      <x:c r="J202" s="25" t="str">
        <x:v>YEARS_BEGINEXPLUATATION_AVG__MISSING</x:v>
      </x:c>
      <x:c r="K202" s="25" t="n">
        <x:v>1</x:v>
      </x:c>
      <x:c r="L202" s="35" t="b">
        <x:v>0</x:v>
      </x:c>
    </x:row>
    <x:row r="203" ht="19" customHeight="1">
      <x:c r="A203" s="25" t="str">
        <x:v>B0</x:v>
      </x:c>
      <x:c r="B203" s="28" t="n">
        <x:v>18741</x:v>
      </x:c>
      <x:c r="C203" s="25" t="n">
        <x:v>1504</x:v>
      </x:c>
      <x:c r="D203" s="25" t="n">
        <x:v>17237</x:v>
      </x:c>
      <x:c r="E203" s="25" t="n">
        <x:v>0.1024821640903686</x:v>
      </x:c>
      <x:c r="F203" s="25" t="n">
        <x:v>0.10183430350615946</x:v>
      </x:c>
      <x:c r="G203" s="25" t="n">
        <x:v>0.006341757599155677</x:v>
      </x:c>
      <x:c r="H203" s="25" t="n">
        <x:v>0.000004108574783101747</x:v>
      </x:c>
      <x:c r="I203" s="30" t="n">
        <x:v>0.08025185422336055</x:v>
      </x:c>
      <x:c r="J203" s="25" t="str">
        <x:v>YEARS_BEGINEXPLUATATION_AVG</x:v>
      </x:c>
      <x:c r="K203" s="25" t="str">
        <x:v>(-inf, 0.9752]</x:v>
      </x:c>
      <x:c r="L203" s="35" t="b">
        <x:v>0</x:v>
      </x:c>
    </x:row>
    <x:row r="204" ht="19" customHeight="1">
      <x:c r="A204" s="25" t="str">
        <x:v>B1</x:v>
      </x:c>
      <x:c r="B204" s="28" t="n">
        <x:v>20973</x:v>
      </x:c>
      <x:c r="C204" s="25" t="n">
        <x:v>1505</x:v>
      </x:c>
      <x:c r="D204" s="25" t="n">
        <x:v>19468</x:v>
      </x:c>
      <x:c r="E204" s="25" t="n">
        <x:v>0.1157461355529132</x:v>
      </x:c>
      <x:c r="F204" s="25" t="n">
        <x:v>0.10190198998240152</x:v>
      </x:c>
      <x:c r="G204" s="25" t="n">
        <x:v>0.1273878374418331</x:v>
      </x:c>
      <x:c r="H204" s="25" t="n">
        <x:v>0.0017635757654574159</x:v>
      </x:c>
      <x:c r="I204" s="30" t="n">
        <x:v>0.07175892814571115</x:v>
      </x:c>
      <x:c r="J204" s="25" t="str">
        <x:v>YEARS_BEGINEXPLUATATION_AVG</x:v>
      </x:c>
      <x:c r="K204" s="25" t="str">
        <x:v>(0.9752, 0.98009998]</x:v>
      </x:c>
      <x:c r="L204" s="35" t="b">
        <x:v>0</x:v>
      </x:c>
    </x:row>
    <x:row r="205" ht="19" customHeight="1">
      <x:c r="A205" s="25" t="str">
        <x:v>B2</x:v>
      </x:c>
      <x:c r="B205" s="28" t="n">
        <x:v>18521</x:v>
      </x:c>
      <x:c r="C205" s="25" t="n">
        <x:v>1317</x:v>
      </x:c>
      <x:c r="D205" s="25" t="n">
        <x:v>17204</x:v>
      </x:c>
      <x:c r="E205" s="25" t="n">
        <x:v>0.1022859690844233</x:v>
      </x:c>
      <x:c r="F205" s="25" t="n">
        <x:v>0.08917693244889671</x:v>
      </x:c>
      <x:c r="G205" s="25" t="n">
        <x:v>0.13715010764208949</x:v>
      </x:c>
      <x:c r="H205" s="25" t="n">
        <x:v>0.001797905785646567</x:v>
      </x:c>
      <x:c r="I205" s="30" t="n">
        <x:v>0.07110847146482371</x:v>
      </x:c>
      <x:c r="J205" s="25" t="str">
        <x:v>YEARS_BEGINEXPLUATATION_AVG</x:v>
      </x:c>
      <x:c r="K205" s="25" t="str">
        <x:v>(0.98009998, 0.98409998]</x:v>
      </x:c>
      <x:c r="L205" s="35" t="b">
        <x:v>0</x:v>
      </x:c>
    </x:row>
    <x:row r="206" ht="19" customHeight="1">
      <x:c r="A206" s="25" t="str">
        <x:v>B3</x:v>
      </x:c>
      <x:c r="B206" s="28" t="n">
        <x:v>17013</x:v>
      </x:c>
      <x:c r="C206" s="25" t="n">
        <x:v>1184</x:v>
      </x:c>
      <x:c r="D206" s="25" t="n">
        <x:v>15829</x:v>
      </x:c>
      <x:c r="E206" s="25" t="n">
        <x:v>0.09411117717003567</x:v>
      </x:c>
      <x:c r="F206" s="25" t="n">
        <x:v>0.08017463110870449</x:v>
      </x:c>
      <x:c r="G206" s="25" t="n">
        <x:v>0.16026967474811268</x:v>
      </x:c>
      <x:c r="H206" s="25" t="n">
        <x:v>0.00223360570436164</x:v>
      </x:c>
      <x:c r="I206" s="30" t="n">
        <x:v>0.06959384000470228</x:v>
      </x:c>
      <x:c r="J206" s="25" t="str">
        <x:v>YEARS_BEGINEXPLUATATION_AVG</x:v>
      </x:c>
      <x:c r="K206" s="25" t="str">
        <x:v>(0.98409998, 0.98760003]</x:v>
      </x:c>
      <x:c r="L206" s="35" t="b">
        <x:v>0</x:v>
      </x:c>
    </x:row>
    <x:row r="207" ht="19" customHeight="1">
      <x:c r="A207" s="25" t="str">
        <x:v>B4</x:v>
      </x:c>
      <x:c r="B207" s="28" t="n">
        <x:v>18424</x:v>
      </x:c>
      <x:c r="C207" s="25" t="n">
        <x:v>1093</x:v>
      </x:c>
      <x:c r="D207" s="25" t="n">
        <x:v>17331</x:v>
      </x:c>
      <x:c r="E207" s="25" t="n">
        <x:v>0.1030410225921522</x:v>
      </x:c>
      <x:c r="F207" s="25" t="n">
        <x:v>0.07401516177067821</x:v>
      </x:c>
      <x:c r="G207" s="25" t="n">
        <x:v>0.3308572255216019</x:v>
      </x:c>
      <x:c r="H207" s="25" t="n">
        <x:v>0.009603415779769049</x:v>
      </x:c>
      <x:c r="I207" s="30" t="n">
        <x:v>0.05932479374728615</x:v>
      </x:c>
      <x:c r="J207" s="25" t="str">
        <x:v>YEARS_BEGINEXPLUATATION_AVG</x:v>
      </x:c>
      <x:c r="K207" s="25" t="str">
        <x:v>(0.98760003, inf]</x:v>
      </x:c>
      <x:c r="L207" s="35" t="b">
        <x:v>0</x:v>
      </x:c>
    </x:row>
    <x:row r="208" ht="19" customHeight="1">
      <x:c r="A208" s="25" t="str">
        <x:v>Missing</x:v>
      </x:c>
      <x:c r="B208" s="28" t="n">
        <x:v>89296</x:v>
      </x:c>
      <x:c r="C208" s="25" t="n">
        <x:v>8168</x:v>
      </x:c>
      <x:c r="D208" s="25" t="n">
        <x:v>81128</x:v>
      </x:c>
      <x:c r="E208" s="25" t="n">
        <x:v>0.482333531510107</x:v>
      </x:c>
      <x:c r="F208" s="25" t="n">
        <x:v>0.5528969811831596</x:v>
      </x:c>
      <x:c r="G208" s="25" t="n">
        <x:v>-0.13653584452573841</x:v>
      </x:c>
      <x:c r="H208" s="25" t="n">
        <x:v>0.00963444019375967</x:v>
      </x:c>
      <x:c r="I208" s="30" t="n">
        <x:v>0.09147106253359613</x:v>
      </x:c>
      <x:c r="J208" s="25" t="str">
        <x:v>YEARS_BEGINEXPLUATATION_AVG</x:v>
      </x:c>
      <x:c r="K208" s="25" t="str">
        <x:v>Missing</x:v>
      </x:c>
      <x:c r="L208" s="35" t="b">
        <x:v>0</x:v>
      </x:c>
    </x:row>
    <x:row r="209" ht="19" customHeight="1">
      <x:c r="A209" s="25" t="n">
        <x:v>0</x:v>
      </x:c>
      <x:c r="B209" s="28" t="n">
        <x:v>61320</x:v>
      </x:c>
      <x:c r="C209" s="25" t="n">
        <x:v>4249</x:v>
      </x:c>
      <x:c r="D209" s="25" t="n">
        <x:v>57071</x:v>
      </x:c>
      <x:c r="E209" s="25" t="n">
        <x:v>0.33931140679437327</x:v>
      </x:c>
      <x:c r="F209" s="25" t="n">
        <x:v>0.28767262388302195</x:v>
      </x:c>
      <x:c r="G209" s="25" t="n">
        <x:v>0.1650951788867282</x:v>
      </x:c>
      <x:c r="H209" s="25" t="n">
        <x:v>0.00852531410224247</x:v>
      </x:c>
      <x:c r="I209" s="30" t="n">
        <x:v>0.06929223744292237</x:v>
      </x:c>
      <x:c r="J209" s="25" t="str">
        <x:v>YEARS_BUILD_AVG__MISSING</x:v>
      </x:c>
      <x:c r="K209" s="25" t="n">
        <x:v>0</x:v>
      </x:c>
      <x:c r="L209" s="35" t="b">
        <x:v>0</x:v>
      </x:c>
    </x:row>
    <x:row r="210" ht="19" customHeight="1">
      <x:c r="A210" s="25" t="n">
        <x:v>1</x:v>
      </x:c>
      <x:c r="B210" s="28" t="n">
        <x:v>121648</x:v>
      </x:c>
      <x:c r="C210" s="25" t="n">
        <x:v>10522</x:v>
      </x:c>
      <x:c r="D210" s="25" t="n">
        <x:v>111126</x:v>
      </x:c>
      <x:c r="E210" s="25" t="n">
        <x:v>0.6606885932056267</x:v>
      </x:c>
      <x:c r="F210" s="25" t="n">
        <x:v>0.712327376116978</x:v>
      </x:c>
      <x:c r="G210" s="25" t="n">
        <x:v>-0.07525498947832664</x:v>
      </x:c>
      <x:c r="H210" s="25" t="n">
        <x:v>0.0038860760646673414</x:v>
      </x:c>
      <x:c r="I210" s="30" t="n">
        <x:v>0.08649546231750625</x:v>
      </x:c>
      <x:c r="J210" s="25" t="str">
        <x:v>YEARS_BUILD_AVG__MISSING</x:v>
      </x:c>
      <x:c r="K210" s="25" t="n">
        <x:v>1</x:v>
      </x:c>
      <x:c r="L210" s="35" t="b">
        <x:v>0</x:v>
      </x:c>
    </x:row>
    <x:row r="211" ht="19" customHeight="1">
      <x:c r="A211" s="25" t="str">
        <x:v>B0</x:v>
      </x:c>
      <x:c r="B211" s="28" t="n">
        <x:v>13181</x:v>
      </x:c>
      <x:c r="C211" s="25" t="n">
        <x:v>1029</x:v>
      </x:c>
      <x:c r="D211" s="25" t="n">
        <x:v>12152</x:v>
      </x:c>
      <x:c r="E211" s="25" t="n">
        <x:v>0.07225029726516052</x:v>
      </x:c>
      <x:c r="F211" s="25" t="n">
        <x:v>0.06968322729118723</x:v>
      </x:c>
      <x:c r="G211" s="25" t="n">
        <x:v>0.03617679401946458</x:v>
      </x:c>
      <x:c r="H211" s="25" t="n">
        <x:v>0.00009286836168198424</x:v>
      </x:c>
      <x:c r="I211" s="30" t="n">
        <x:v>0.07806691449814127</x:v>
      </x:c>
      <x:c r="J211" s="25" t="str">
        <x:v>YEARS_BUILD_AVG</x:v>
      </x:c>
      <x:c r="K211" s="25" t="str">
        <x:v>(-inf, 0.67360002]</x:v>
      </x:c>
      <x:c r="L211" s="35" t="b">
        <x:v>0</x:v>
      </x:c>
    </x:row>
    <x:row r="212" ht="19" customHeight="1">
      <x:c r="A212" s="25" t="str">
        <x:v>B1</x:v>
      </x:c>
      <x:c r="B212" s="28" t="n">
        <x:v>11573</x:v>
      </x:c>
      <x:c r="C212" s="25" t="n">
        <x:v>782</x:v>
      </x:c>
      <x:c r="D212" s="25" t="n">
        <x:v>10791</x:v>
      </x:c>
      <x:c r="E212" s="25" t="n">
        <x:v>0.06415873959571938</x:v>
      </x:c>
      <x:c r="F212" s="25" t="n">
        <x:v>0.05296466765940165</x:v>
      </x:c>
      <x:c r="G212" s="25" t="n">
        <x:v>0.19173527535241527</x:v>
      </x:c>
      <x:c r="H212" s="25" t="n">
        <x:v>0.0021462984650246248</x:v>
      </x:c>
      <x:c r="I212" s="30" t="n">
        <x:v>0.06757107059535125</x:v>
      </x:c>
      <x:c r="J212" s="25" t="str">
        <x:v>YEARS_BUILD_AVG</x:v>
      </x:c>
      <x:c r="K212" s="25" t="str">
        <x:v>(0.67360002, 0.72799999]</x:v>
      </x:c>
      <x:c r="L212" s="35" t="b">
        <x:v>0</x:v>
      </x:c>
    </x:row>
    <x:row r="213" ht="19" customHeight="1">
      <x:c r="A213" s="25" t="str">
        <x:v>B2</x:v>
      </x:c>
      <x:c r="B213" s="28" t="n">
        <x:v>12577</x:v>
      </x:c>
      <x:c r="C213" s="25" t="n">
        <x:v>898</x:v>
      </x:c>
      <x:c r="D213" s="25" t="n">
        <x:v>11679</x:v>
      </x:c>
      <x:c r="E213" s="25" t="n">
        <x:v>0.06943816884661118</x:v>
      </x:c>
      <x:c r="F213" s="25" t="n">
        <x:v>0.06081629890347909</x:v>
      </x:c>
      <x:c r="G213" s="25" t="n">
        <x:v>0.1325788725908266</x:v>
      </x:c>
      <x:c r="H213" s="25" t="n">
        <x:v>0.0011430777966851867</x:v>
      </x:c>
      <x:c r="I213" s="30" t="n">
        <x:v>0.07140017492247754</x:v>
      </x:c>
      <x:c r="J213" s="25" t="str">
        <x:v>YEARS_BUILD_AVG</x:v>
      </x:c>
      <x:c r="K213" s="25" t="str">
        <x:v>(0.72799999, 0.78240001]</x:v>
      </x:c>
      <x:c r="L213" s="35" t="b">
        <x:v>0</x:v>
      </x:c>
    </x:row>
    <x:row r="214" ht="19" customHeight="1">
      <x:c r="A214" s="25" t="str">
        <x:v>B3</x:v>
      </x:c>
      <x:c r="B214" s="28" t="n">
        <x:v>13036</x:v>
      </x:c>
      <x:c r="C214" s="25" t="n">
        <x:v>901</x:v>
      </x:c>
      <x:c r="D214" s="25" t="n">
        <x:v>12135</x:v>
      </x:c>
      <x:c r="E214" s="25" t="n">
        <x:v>0.07214922711058264</x:v>
      </x:c>
      <x:c r="F214" s="25" t="n">
        <x:v>0.061019358332205224</x:v>
      </x:c>
      <x:c r="G214" s="25" t="n">
        <x:v>0.16754540936764045</x:v>
      </x:c>
      <x:c r="H214" s="25" t="n">
        <x:v>0.0018647584206813639</x:v>
      </x:c>
      <x:c r="I214" s="30" t="n">
        <x:v>0.0691162933415158</x:v>
      </x:c>
      <x:c r="J214" s="25" t="str">
        <x:v>YEARS_BUILD_AVG</x:v>
      </x:c>
      <x:c r="K214" s="25" t="str">
        <x:v>(0.78240001, 0.83679998]</x:v>
      </x:c>
      <x:c r="L214" s="35" t="b">
        <x:v>0</x:v>
      </x:c>
    </x:row>
    <x:row r="215" ht="19" customHeight="1">
      <x:c r="A215" s="25" t="str">
        <x:v>B4</x:v>
      </x:c>
      <x:c r="B215" s="28" t="n">
        <x:v>10953</x:v>
      </x:c>
      <x:c r="C215" s="25" t="n">
        <x:v>639</x:v>
      </x:c>
      <x:c r="D215" s="25" t="n">
        <x:v>10314</x:v>
      </x:c>
      <x:c r="E215" s="25" t="n">
        <x:v>0.06132282996432818</x:v>
      </x:c>
      <x:c r="F215" s="25" t="n">
        <x:v>0.04328550155678895</x:v>
      </x:c>
      <x:c r="G215" s="25" t="n">
        <x:v>0.3483344617818637</x:v>
      </x:c>
      <x:c r="H215" s="25" t="n">
        <x:v>0.006283023082822899</x:v>
      </x:c>
      <x:c r="I215" s="30" t="n">
        <x:v>0.05834018077239113</x:v>
      </x:c>
      <x:c r="J215" s="25" t="str">
        <x:v>YEARS_BUILD_AVG</x:v>
      </x:c>
      <x:c r="K215" s="25" t="str">
        <x:v>(0.83679998, inf]</x:v>
      </x:c>
      <x:c r="L215" s="35" t="b">
        <x:v>0</x:v>
      </x:c>
    </x:row>
    <x:row r="216" ht="19" customHeight="1">
      <x:c r="A216" s="25" t="str">
        <x:v>Missing</x:v>
      </x:c>
      <x:c r="B216" s="28" t="n">
        <x:v>121648</x:v>
      </x:c>
      <x:c r="C216" s="25" t="n">
        <x:v>10522</x:v>
      </x:c>
      <x:c r="D216" s="25" t="n">
        <x:v>111126</x:v>
      </x:c>
      <x:c r="E216" s="25" t="n">
        <x:v>0.6606807372175981</x:v>
      </x:c>
      <x:c r="F216" s="25" t="n">
        <x:v>0.7122309462569378</x:v>
      </x:c>
      <x:c r="G216" s="25" t="n">
        <x:v>-0.0751314980392121</x:v>
      </x:c>
      <x:c r="H216" s="25" t="n">
        <x:v>0.003873044429360125</x:v>
      </x:c>
      <x:c r="I216" s="30" t="n">
        <x:v>0.08649546231750625</x:v>
      </x:c>
      <x:c r="J216" s="25" t="str">
        <x:v>YEARS_BUILD_AVG</x:v>
      </x:c>
      <x:c r="K216" s="25" t="str">
        <x:v>Missing</x:v>
      </x:c>
      <x:c r="L216" s="35" t="b">
        <x:v>0</x:v>
      </x:c>
    </x:row>
    <x:row r="217" ht="19" customHeight="1">
      <x:c r="A217" s="25" t="n">
        <x:v>0</x:v>
      </x:c>
      <x:c r="B217" s="28" t="n">
        <x:v>55220</x:v>
      </x:c>
      <x:c r="C217" s="25" t="n">
        <x:v>3864</x:v>
      </x:c>
      <x:c r="D217" s="25" t="n">
        <x:v>51356</x:v>
      </x:c>
      <x:c r="E217" s="25" t="n">
        <x:v>0.3053335949297851</x:v>
      </x:c>
      <x:c r="F217" s="25" t="n">
        <x:v>0.26160980232873005</x:v>
      </x:c>
      <x:c r="G217" s="25" t="n">
        <x:v>0.15455084320598272</x:v>
      </x:c>
      <x:c r="H217" s="25" t="n">
        <x:v>0.006757549014656571</x:v>
      </x:c>
      <x:c r="I217" s="30" t="n">
        <x:v>0.06997464686707715</x:v>
      </x:c>
      <x:c r="J217" s="25" t="str">
        <x:v>COMMONAREA_AVG__MISSING</x:v>
      </x:c>
      <x:c r="K217" s="25" t="n">
        <x:v>0</x:v>
      </x:c>
      <x:c r="L217" s="35" t="b">
        <x:v>0</x:v>
      </x:c>
    </x:row>
    <x:row r="218" ht="19" customHeight="1">
      <x:c r="A218" s="25" t="n">
        <x:v>1</x:v>
      </x:c>
      <x:c r="B218" s="28" t="n">
        <x:v>127748</x:v>
      </x:c>
      <x:c r="C218" s="25" t="n">
        <x:v>10907</x:v>
      </x:c>
      <x:c r="D218" s="25" t="n">
        <x:v>116841</x:v>
      </x:c>
      <x:c r="E218" s="25" t="n">
        <x:v>0.6946664050702148</x:v>
      </x:c>
      <x:c r="F218" s="25" t="n">
        <x:v>0.73839019767127</x:v>
      </x:c>
      <x:c r="G218" s="25" t="n">
        <x:v>-0.06104067038075663</x:v>
      </x:c>
      <x:c r="H218" s="25" t="n">
        <x:v>0.0026689296119575753</x:v>
      </x:c>
      <x:c r="I218" s="30" t="n">
        <x:v>0.08537902746031249</x:v>
      </x:c>
      <x:c r="J218" s="25" t="str">
        <x:v>COMMONAREA_AVG__MISSING</x:v>
      </x:c>
      <x:c r="K218" s="25" t="n">
        <x:v>1</x:v>
      </x:c>
      <x:c r="L218" s="35" t="b">
        <x:v>0</x:v>
      </x:c>
    </x:row>
    <x:row r="219" ht="19" customHeight="1">
      <x:c r="A219" s="25" t="str">
        <x:v>B0</x:v>
      </x:c>
      <x:c r="B219" s="28" t="n">
        <x:v>11110</x:v>
      </x:c>
      <x:c r="C219" s="25" t="n">
        <x:v>847</x:v>
      </x:c>
      <x:c r="D219" s="25" t="n">
        <x:v>10263</x:v>
      </x:c>
      <x:c r="E219" s="25" t="n">
        <x:v>0.06101961950059453</x:v>
      </x:c>
      <x:c r="F219" s="25" t="n">
        <x:v>0.0573642886151347</x:v>
      </x:c>
      <x:c r="G219" s="25" t="n">
        <x:v>0.0617734834703265</x:v>
      </x:c>
      <x:c r="H219" s="25" t="n">
        <x:v>0.00022580252203152664</x:v>
      </x:c>
      <x:c r="I219" s="30" t="n">
        <x:v>0.07623762376237624</x:v>
      </x:c>
      <x:c r="J219" s="25" t="str">
        <x:v>COMMONAREA_AVG</x:v>
      </x:c>
      <x:c r="K219" s="25" t="str">
        <x:v>(-inf, 0.0057999999]</x:v>
      </x:c>
      <x:c r="L219" s="35" t="b">
        <x:v>0</x:v>
      </x:c>
    </x:row>
    <x:row r="220" ht="19" customHeight="1">
      <x:c r="A220" s="25" t="str">
        <x:v>B1</x:v>
      </x:c>
      <x:c r="B220" s="28" t="n">
        <x:v>10994</x:v>
      </x:c>
      <x:c r="C220" s="25" t="n">
        <x:v>821</x:v>
      </x:c>
      <x:c r="D220" s="25" t="n">
        <x:v>10173</x:v>
      </x:c>
      <x:c r="E220" s="25" t="n">
        <x:v>0.060484542211652795</x:v>
      </x:c>
      <x:c r="F220" s="25" t="n">
        <x:v>0.05560444023284148</x:v>
      </x:c>
      <x:c r="G220" s="25" t="n">
        <x:v>0.08412477338633317</x:v>
      </x:c>
      <x:c r="H220" s="25" t="n">
        <x:v>0.00041053747306969793</x:v>
      </x:c>
      <x:c r="I220" s="30" t="n">
        <x:v>0.07467709659814445</x:v>
      </x:c>
      <x:c r="J220" s="25" t="str">
        <x:v>COMMONAREA_AVG</x:v>
      </x:c>
      <x:c r="K220" s="25" t="str">
        <x:v>(0.0057999999, 0.0142]</x:v>
      </x:c>
      <x:c r="L220" s="35" t="b">
        <x:v>0</x:v>
      </x:c>
    </x:row>
    <x:row r="221" ht="19" customHeight="1">
      <x:c r="A221" s="25" t="str">
        <x:v>B2</x:v>
      </x:c>
      <x:c r="B221" s="28" t="n">
        <x:v>11078</x:v>
      </x:c>
      <x:c r="C221" s="25" t="n">
        <x:v>769</x:v>
      </x:c>
      <x:c r="D221" s="25" t="n">
        <x:v>10309</x:v>
      </x:c>
      <x:c r="E221" s="25" t="n">
        <x:v>0.06129310344827586</x:v>
      </x:c>
      <x:c r="F221" s="25" t="n">
        <x:v>0.05208474346825504</x:v>
      </x:c>
      <x:c r="G221" s="25" t="n">
        <x:v>0.16279525751853405</x:v>
      </x:c>
      <x:c r="H221" s="25" t="n">
        <x:v>0.0014990773342708525</x:v>
      </x:c>
      <x:c r="I221" s="30" t="n">
        <x:v>0.06941686224950352</x:v>
      </x:c>
      <x:c r="J221" s="25" t="str">
        <x:v>COMMONAREA_AVG</x:v>
      </x:c>
      <x:c r="K221" s="25" t="str">
        <x:v>(0.0142, 0.030999999]</x:v>
      </x:c>
      <x:c r="L221" s="35" t="b">
        <x:v>0</x:v>
      </x:c>
    </x:row>
    <x:row r="222" ht="19" customHeight="1">
      <x:c r="A222" s="25" t="str">
        <x:v>B3</x:v>
      </x:c>
      <x:c r="B222" s="28" t="n">
        <x:v>10997</x:v>
      </x:c>
      <x:c r="C222" s="25" t="n">
        <x:v>770</x:v>
      </x:c>
      <x:c r="D222" s="25" t="n">
        <x:v>10227</x:v>
      </x:c>
      <x:c r="E222" s="25" t="n">
        <x:v>0.060805588585017833</x:v>
      </x:c>
      <x:c r="F222" s="25" t="n">
        <x:v>0.05215242994449709</x:v>
      </x:c>
      <x:c r="G222" s="25" t="n">
        <x:v>0.1535109266110815</x:v>
      </x:c>
      <x:c r="H222" s="25" t="n">
        <x:v>0.0013283544010190254</x:v>
      </x:c>
      <x:c r="I222" s="30" t="n">
        <x:v>0.07001909611712286</x:v>
      </x:c>
      <x:c r="J222" s="25" t="str">
        <x:v>COMMONAREA_AVG</x:v>
      </x:c>
      <x:c r="K222" s="25" t="str">
        <x:v>(0.030999999, 0.062899999]</x:v>
      </x:c>
      <x:c r="L222" s="35" t="b">
        <x:v>0</x:v>
      </x:c>
    </x:row>
    <x:row r="223" ht="19" customHeight="1">
      <x:c r="A223" s="25" t="str">
        <x:v>B4</x:v>
      </x:c>
      <x:c r="B223" s="28" t="n">
        <x:v>11041</x:v>
      </x:c>
      <x:c r="C223" s="25" t="n">
        <x:v>657</x:v>
      </x:c>
      <x:c r="D223" s="25" t="n">
        <x:v>10384</x:v>
      </x:c>
      <x:c r="E223" s="25" t="n">
        <x:v>0.061739001189060644</x:v>
      </x:c>
      <x:c r="F223" s="25" t="n">
        <x:v>0.0445038581291458</x:v>
      </x:c>
      <x:c r="G223" s="25" t="n">
        <x:v>0.3273399563019685</x:v>
      </x:c>
      <x:c r="H223" s="25" t="n">
        <x:v>0.005641750976090701</x:v>
      </x:c>
      <x:c r="I223" s="30" t="n">
        <x:v>0.05950547957612535</x:v>
      </x:c>
      <x:c r="J223" s="25" t="str">
        <x:v>COMMONAREA_AVG</x:v>
      </x:c>
      <x:c r="K223" s="25" t="str">
        <x:v>(0.062899999, inf]</x:v>
      </x:c>
      <x:c r="L223" s="35" t="b">
        <x:v>0</x:v>
      </x:c>
    </x:row>
    <x:row r="224" ht="19" customHeight="1">
      <x:c r="A224" s="25" t="str">
        <x:v>Missing</x:v>
      </x:c>
      <x:c r="B224" s="28" t="n">
        <x:v>127748</x:v>
      </x:c>
      <x:c r="C224" s="25" t="n">
        <x:v>10907</x:v>
      </x:c>
      <x:c r="D224" s="25" t="n">
        <x:v>116841</x:v>
      </x:c>
      <x:c r="E224" s="25" t="n">
        <x:v>0.6946581450653984</x:v>
      </x:c>
      <x:c r="F224" s="25" t="n">
        <x:v>0.7382902396101259</x:v>
      </x:c>
      <x:c r="G224" s="25" t="n">
        <x:v>-0.0609171789416419</x:v>
      </x:c>
      <x:c r="H224" s="25" t="n">
        <x:v>0.0026579441109798024</x:v>
      </x:c>
      <x:c r="I224" s="30" t="n">
        <x:v>0.08537902746031249</x:v>
      </x:c>
      <x:c r="J224" s="25" t="str">
        <x:v>COMMONAREA_AVG</x:v>
      </x:c>
      <x:c r="K224" s="25" t="str">
        <x:v>Missing</x:v>
      </x:c>
      <x:c r="L224" s="35" t="b">
        <x:v>0</x:v>
      </x:c>
    </x:row>
    <x:row r="225" ht="19" customHeight="1">
      <x:c r="A225" s="25" t="n">
        <x:v>0</x:v>
      </x:c>
      <x:c r="B225" s="28" t="n">
        <x:v>85472</x:v>
      </x:c>
      <x:c r="C225" s="25" t="n">
        <x:v>5945</x:v>
      </x:c>
      <x:c r="D225" s="25" t="n">
        <x:v>79527</x:v>
      </x:c>
      <x:c r="E225" s="25" t="n">
        <x:v>0.47282072319528173</x:v>
      </x:c>
      <x:c r="F225" s="25" t="n">
        <x:v>0.40248443000270784</x:v>
      </x:c>
      <x:c r="G225" s="25" t="n">
        <x:v>0.16105988302931368</x:v>
      </x:c>
      <x:c r="H225" s="25" t="n">
        <x:v>0.011328355154311463</x:v>
      </x:c>
      <x:c r="I225" s="30" t="n">
        <x:v>0.06955494196929989</x:v>
      </x:c>
      <x:c r="J225" s="25" t="str">
        <x:v>ELEVATORS_AVG__MISSING</x:v>
      </x:c>
      <x:c r="K225" s="25" t="n">
        <x:v>0</x:v>
      </x:c>
      <x:c r="L225" s="35" t="b">
        <x:v>0</x:v>
      </x:c>
    </x:row>
    <x:row r="226" ht="19" customHeight="1">
      <x:c r="A226" s="25" t="n">
        <x:v>1</x:v>
      </x:c>
      <x:c r="B226" s="28" t="n">
        <x:v>97496</x:v>
      </x:c>
      <x:c r="C226" s="25" t="n">
        <x:v>8826</x:v>
      </x:c>
      <x:c r="D226" s="25" t="n">
        <x:v>88670</x:v>
      </x:c>
      <x:c r="E226" s="25" t="n">
        <x:v>0.5271792768047182</x:v>
      </x:c>
      <x:c r="F226" s="25" t="n">
        <x:v>0.5975155699972922</x:v>
      </x:c>
      <x:c r="G226" s="25" t="n">
        <x:v>-0.12523966765684355</x:v>
      </x:c>
      <x:c r="H226" s="25" t="n">
        <x:v>0.008808893983652269</x:v>
      </x:c>
      <x:c r="I226" s="30" t="n">
        <x:v>0.09052679084270124</x:v>
      </x:c>
      <x:c r="J226" s="25" t="str">
        <x:v>ELEVATORS_AVG__MISSING</x:v>
      </x:c>
      <x:c r="K226" s="25" t="n">
        <x:v>1</x:v>
      </x:c>
      <x:c r="L226" s="35" t="b">
        <x:v>0</x:v>
      </x:c>
    </x:row>
    <x:row r="227" ht="19" customHeight="1">
      <x:c r="A227" s="25" t="str">
        <x:v>B0</x:v>
      </x:c>
      <x:c r="B227" s="28" t="n">
        <x:v>51417</x:v>
      </x:c>
      <x:c r="C227" s="25" t="n">
        <x:v>3933</x:v>
      </x:c>
      <x:c r="D227" s="25" t="n">
        <x:v>47484</x:v>
      </x:c>
      <x:c r="E227" s="25" t="n">
        <x:v>0.2823114287243087</x:v>
      </x:c>
      <x:c r="F227" s="25" t="n">
        <x:v>0.2662627766871996</x:v>
      </x:c>
      <x:c r="G227" s="25" t="n">
        <x:v>0.058527115332886626</x:v>
      </x:c>
      <x:c r="H227" s="25" t="n">
        <x:v>0.0009392813087132497</x:v>
      </x:c>
      <x:c r="I227" s="30" t="n">
        <x:v>0.07649221074741817</x:v>
      </x:c>
      <x:c r="J227" s="25" t="str">
        <x:v>ELEVATORS_AVG</x:v>
      </x:c>
      <x:c r="K227" s="25" t="str">
        <x:v>(-inf, 0.02]</x:v>
      </x:c>
      <x:c r="L227" s="35" t="b">
        <x:v>0</x:v>
      </x:c>
    </x:row>
    <x:row r="228" ht="19" customHeight="1">
      <x:c r="A228" s="25" t="str">
        <x:v>B1</x:v>
      </x:c>
      <x:c r="B228" s="28" t="n">
        <x:v>19529</x:v>
      </x:c>
      <x:c r="C228" s="25" t="n">
        <x:v>1204</x:v>
      </x:c>
      <x:c r="D228" s="25" t="n">
        <x:v>18325</x:v>
      </x:c>
      <x:c r="E228" s="25" t="n">
        <x:v>0.10895130173187711</x:v>
      </x:c>
      <x:c r="F228" s="25" t="n">
        <x:v>0.08153387937453463</x:v>
      </x:c>
      <x:c r="G228" s="25" t="n">
        <x:v>0.2898823775788053</x:v>
      </x:c>
      <x:c r="H228" s="25" t="n">
        <x:v>0.007947827580028733</x:v>
      </x:c>
      <x:c r="I228" s="30" t="n">
        <x:v>0.06165190229914486</x:v>
      </x:c>
      <x:c r="J228" s="25" t="str">
        <x:v>ELEVATORS_AVG</x:v>
      </x:c>
      <x:c r="K228" s="25" t="str">
        <x:v>(0.02, 0.16]</x:v>
      </x:c>
      <x:c r="L228" s="35" t="b">
        <x:v>0</x:v>
      </x:c>
    </x:row>
    <x:row r="229" ht="19" customHeight="1">
      <x:c r="A229" s="25" t="str">
        <x:v>B2</x:v>
      </x:c>
      <x:c r="B229" s="28" t="n">
        <x:v>14526</x:v>
      </x:c>
      <x:c r="C229" s="25" t="n">
        <x:v>808</x:v>
      </x:c>
      <x:c r="D229" s="25" t="n">
        <x:v>13718</x:v>
      </x:c>
      <x:c r="E229" s="25" t="n">
        <x:v>0.08156112699837692</x:v>
      </x:c>
      <x:c r="F229" s="25" t="n">
        <x:v>0.05472822040208489</x:v>
      </x:c>
      <x:c r="G229" s="25" t="n">
        <x:v>0.3989732749612581</x:v>
      </x:c>
      <x:c r="H229" s="25" t="n">
        <x:v>0.010705612621452178</x:v>
      </x:c>
      <x:c r="I229" s="30" t="n">
        <x:v>0.05562439763183258</x:v>
      </x:c>
      <x:c r="J229" s="25" t="str">
        <x:v>ELEVATORS_AVG</x:v>
      </x:c>
      <x:c r="K229" s="25" t="str">
        <x:v>(0.16, inf]</x:v>
      </x:c>
      <x:c r="L229" s="35" t="b">
        <x:v>0</x:v>
      </x:c>
    </x:row>
    <x:row r="230" ht="19" customHeight="1">
      <x:c r="A230" s="25" t="str">
        <x:v>Missing</x:v>
      </x:c>
      <x:c r="B230" s="28" t="n">
        <x:v>97496</x:v>
      </x:c>
      <x:c r="C230" s="25" t="n">
        <x:v>8826</x:v>
      </x:c>
      <x:c r="D230" s="25" t="n">
        <x:v>88670</x:v>
      </x:c>
      <x:c r="E230" s="25" t="n">
        <x:v>0.5271761425454372</x:v>
      </x:c>
      <x:c r="F230" s="25" t="n">
        <x:v>0.5974751235361808</x:v>
      </x:c>
      <x:c r="G230" s="25" t="n">
        <x:v>-0.12517791966392006</x:v>
      </x:c>
      <x:c r="H230" s="25" t="n">
        <x:v>0.008799880194914747</x:v>
      </x:c>
      <x:c r="I230" s="30" t="n">
        <x:v>0.09052679084270124</x:v>
      </x:c>
      <x:c r="J230" s="25" t="str">
        <x:v>ELEVATORS_AVG</x:v>
      </x:c>
      <x:c r="K230" s="25" t="str">
        <x:v>Missing</x:v>
      </x:c>
      <x:c r="L230" s="35" t="b">
        <x:v>0</x:v>
      </x:c>
    </x:row>
    <x:row r="231" ht="19" customHeight="1">
      <x:c r="A231" s="25" t="n">
        <x:v>0</x:v>
      </x:c>
      <x:c r="B231" s="28" t="n">
        <x:v>90776</x:v>
      </x:c>
      <x:c r="C231" s="25" t="n">
        <x:v>6361</x:v>
      </x:c>
      <x:c r="D231" s="25" t="n">
        <x:v>84415</x:v>
      </x:c>
      <x:c r="E231" s="25" t="n">
        <x:v>0.5018817108407948</x:v>
      </x:c>
      <x:c r="F231" s="25" t="n">
        <x:v>0.43064581640942323</x:v>
      </x:c>
      <x:c r="G231" s="25" t="n">
        <x:v>0.15307847555751042</x:v>
      </x:c>
      <x:c r="H231" s="25" t="n">
        <x:v>0.010904682124530106</x:v>
      </x:c>
      <x:c r="I231" s="30" t="n">
        <x:v>0.0700735877324403</x:v>
      </x:c>
      <x:c r="J231" s="25" t="str">
        <x:v>ENTRANCES_AVG__MISSING</x:v>
      </x:c>
      <x:c r="K231" s="25" t="n">
        <x:v>0</x:v>
      </x:c>
      <x:c r="L231" s="35" t="b">
        <x:v>0</x:v>
      </x:c>
    </x:row>
    <x:row r="232" ht="19" customHeight="1">
      <x:c r="A232" s="25" t="n">
        <x:v>1</x:v>
      </x:c>
      <x:c r="B232" s="28" t="n">
        <x:v>92192</x:v>
      </x:c>
      <x:c r="C232" s="25" t="n">
        <x:v>8410</x:v>
      </x:c>
      <x:c r="D232" s="25" t="n">
        <x:v>83782</x:v>
      </x:c>
      <x:c r="E232" s="25" t="n">
        <x:v>0.4981182891592052</x:v>
      </x:c>
      <x:c r="F232" s="25" t="n">
        <x:v>0.5693541835905768</x:v>
      </x:c>
      <x:c r="G232" s="25" t="n">
        <x:v>-0.13366512999014</x:v>
      </x:c>
      <x:c r="H232" s="25" t="n">
        <x:v>0.009521755089133171</x:v>
      </x:c>
      <x:c r="I232" s="30" t="n">
        <x:v>0.09122266574106214</x:v>
      </x:c>
      <x:c r="J232" s="25" t="str">
        <x:v>ENTRANCES_AVG__MISSING</x:v>
      </x:c>
      <x:c r="K232" s="25" t="n">
        <x:v>1</x:v>
      </x:c>
      <x:c r="L232" s="35" t="b">
        <x:v>0</x:v>
      </x:c>
    </x:row>
    <x:row r="233" ht="19" customHeight="1">
      <x:c r="A233" s="25" t="str">
        <x:v>B0</x:v>
      </x:c>
      <x:c r="B233" s="28" t="n">
        <x:v>23736</x:v>
      </x:c>
      <x:c r="C233" s="25" t="n">
        <x:v>1888</x:v>
      </x:c>
      <x:c r="D233" s="25" t="n">
        <x:v>21848</x:v>
      </x:c>
      <x:c r="E233" s="25" t="n">
        <x:v>0.12989595719381689</x:v>
      </x:c>
      <x:c r="F233" s="25" t="n">
        <x:v>0.12782591038310545</x:v>
      </x:c>
      <x:c r="G233" s="25" t="n">
        <x:v>0.016064537696828165</x:v>
      </x:c>
      <x:c r="H233" s="25" t="n">
        <x:v>0.00003325434502487276</x:v>
      </x:c>
      <x:c r="I233" s="30" t="n">
        <x:v>0.07954162453656892</x:v>
      </x:c>
      <x:c r="J233" s="25" t="str">
        <x:v>ENTRANCES_AVG</x:v>
      </x:c>
      <x:c r="K233" s="25" t="str">
        <x:v>(-inf, 0.068999998]</x:v>
      </x:c>
      <x:c r="L233" s="35" t="b">
        <x:v>0</x:v>
      </x:c>
    </x:row>
    <x:row r="234" ht="19" customHeight="1">
      <x:c r="A234" s="25" t="str">
        <x:v>B1</x:v>
      </x:c>
      <x:c r="B234" s="28" t="n">
        <x:v>13148</x:v>
      </x:c>
      <x:c r="C234" s="25" t="n">
        <x:v>946</x:v>
      </x:c>
      <x:c r="D234" s="25" t="n">
        <x:v>12202</x:v>
      </x:c>
      <x:c r="E234" s="25" t="n">
        <x:v>0.0725475624256837</x:v>
      </x:c>
      <x:c r="F234" s="25" t="n">
        <x:v>0.06406524976309734</x:v>
      </x:c>
      <x:c r="G234" s="25" t="n">
        <x:v>0.12434028867962311</x:v>
      </x:c>
      <x:c r="H234" s="25" t="n">
        <x:v>0.0010546932051368114</x:v>
      </x:c>
      <x:c r="I234" s="30" t="n">
        <x:v>0.07195010648007301</x:v>
      </x:c>
      <x:c r="J234" s="25" t="str">
        <x:v>ENTRANCES_AVG</x:v>
      </x:c>
      <x:c r="K234" s="25" t="str">
        <x:v>(0.068999998, 0.1034]</x:v>
      </x:c>
      <x:c r="L234" s="35" t="b">
        <x:v>0</x:v>
      </x:c>
    </x:row>
    <x:row r="235" ht="19" customHeight="1">
      <x:c r="A235" s="25" t="str">
        <x:v>B2</x:v>
      </x:c>
      <x:c r="B235" s="28" t="n">
        <x:v>21853</x:v>
      </x:c>
      <x:c r="C235" s="25" t="n">
        <x:v>1485</x:v>
      </x:c>
      <x:c r="D235" s="25" t="n">
        <x:v>20368</x:v>
      </x:c>
      <x:c r="E235" s="25" t="n">
        <x:v>0.12109690844233056</x:v>
      </x:c>
      <x:c r="F235" s="25" t="n">
        <x:v>0.10054826045756057</x:v>
      </x:c>
      <x:c r="G235" s="25" t="n">
        <x:v>0.18595330547199523</x:v>
      </x:c>
      <x:c r="H235" s="25" t="n">
        <x:v>0.0038210890157484335</x:v>
      </x:c>
      <x:c r="I235" s="30" t="n">
        <x:v>0.0679540566512607</x:v>
      </x:c>
      <x:c r="J235" s="25" t="str">
        <x:v>ENTRANCES_AVG</x:v>
      </x:c>
      <x:c r="K235" s="25" t="str">
        <x:v>(0.1034, 0.13789999]</x:v>
      </x:c>
      <x:c r="L235" s="35" t="b">
        <x:v>0</x:v>
      </x:c>
    </x:row>
    <x:row r="236" ht="19" customHeight="1">
      <x:c r="A236" s="25" t="str">
        <x:v>B3</x:v>
      </x:c>
      <x:c r="B236" s="28" t="n">
        <x:v>18728</x:v>
      </x:c>
      <x:c r="C236" s="25" t="n">
        <x:v>1204</x:v>
      </x:c>
      <x:c r="D236" s="25" t="n">
        <x:v>17524</x:v>
      </x:c>
      <x:c r="E236" s="25" t="n">
        <x:v>0.1041884661117717</x:v>
      </x:c>
      <x:c r="F236" s="25" t="n">
        <x:v>0.08152836063354542</x:v>
      </x:c>
      <x:c r="G236" s="25" t="n">
        <x:v>0.24525049033808505</x:v>
      </x:c>
      <x:c r="H236" s="25" t="n">
        <x:v>0.0055574019796477215</x:v>
      </x:c>
      <x:c r="I236" s="30" t="n">
        <x:v>0.06428876548483554</x:v>
      </x:c>
      <x:c r="J236" s="25" t="str">
        <x:v>ENTRANCES_AVG</x:v>
      </x:c>
      <x:c r="K236" s="25" t="str">
        <x:v>(0.13789999, 0.2069]</x:v>
      </x:c>
      <x:c r="L236" s="35" t="b">
        <x:v>0</x:v>
      </x:c>
    </x:row>
    <x:row r="237" ht="19" customHeight="1">
      <x:c r="A237" s="25" t="str">
        <x:v>B4</x:v>
      </x:c>
      <x:c r="B237" s="28" t="n">
        <x:v>13311</x:v>
      </x:c>
      <x:c r="C237" s="25" t="n">
        <x:v>838</x:v>
      </x:c>
      <x:c r="D237" s="25" t="n">
        <x:v>12473</x:v>
      </x:c>
      <x:c r="E237" s="25" t="n">
        <x:v>0.07415873959571938</x:v>
      </x:c>
      <x:c r="F237" s="25" t="n">
        <x:v>0.056755110328956276</x:v>
      </x:c>
      <x:c r="G237" s="25" t="n">
        <x:v>0.2674622232137261</x:v>
      </x:c>
      <x:c r="H237" s="25" t="n">
        <x:v>0.0046548133756759286</x:v>
      </x:c>
      <x:c r="I237" s="30" t="n">
        <x:v>0.06295545037938548</x:v>
      </x:c>
      <x:c r="J237" s="25" t="str">
        <x:v>ENTRANCES_AVG</x:v>
      </x:c>
      <x:c r="K237" s="25" t="str">
        <x:v>(0.2069, inf]</x:v>
      </x:c>
      <x:c r="L237" s="35" t="b">
        <x:v>0</x:v>
      </x:c>
    </x:row>
    <x:row r="238" ht="19" customHeight="1">
      <x:c r="A238" s="25" t="str">
        <x:v>Missing</x:v>
      </x:c>
      <x:c r="B238" s="28" t="n">
        <x:v>92192</x:v>
      </x:c>
      <x:c r="C238" s="25" t="n">
        <x:v>8410</x:v>
      </x:c>
      <x:c r="D238" s="25" t="n">
        <x:v>83782</x:v>
      </x:c>
      <x:c r="E238" s="25" t="n">
        <x:v>0.4981123662306778</x:v>
      </x:c>
      <x:c r="F238" s="25" t="n">
        <x:v>0.5692771084337349</x:v>
      </x:c>
      <x:c r="G238" s="25" t="n">
        <x:v>-0.1335416385510254</x:v>
      </x:c>
      <x:c r="H238" s="25" t="n">
        <x:v>0.009503456280857558</x:v>
      </x:c>
      <x:c r="I238" s="30" t="n">
        <x:v>0.09122266574106214</x:v>
      </x:c>
      <x:c r="J238" s="25" t="str">
        <x:v>ENTRANCES_AVG</x:v>
      </x:c>
      <x:c r="K238" s="25" t="str">
        <x:v>Missing</x:v>
      </x:c>
      <x:c r="L238" s="35" t="b">
        <x:v>0</x:v>
      </x:c>
    </x:row>
    <x:row r="239" ht="19" customHeight="1">
      <x:c r="A239" s="25" t="n">
        <x:v>0</x:v>
      </x:c>
      <x:c r="B239" s="28" t="n">
        <x:v>91873</x:v>
      </x:c>
      <x:c r="C239" s="25" t="n">
        <x:v>6443</x:v>
      </x:c>
      <x:c r="D239" s="25" t="n">
        <x:v>85430</x:v>
      </x:c>
      <x:c r="E239" s="25" t="n">
        <x:v>0.5079162653539281</x:v>
      </x:c>
      <x:c r="F239" s="25" t="n">
        <x:v>0.4361968589222854</x:v>
      </x:c>
      <x:c r="G239" s="25" t="n">
        <x:v>0.15222294927361238</x:v>
      </x:c>
      <x:c r="H239" s="25" t="n">
        <x:v>0.010917339567177537</x:v>
      </x:c>
      <x:c r="I239" s="30" t="n">
        <x:v>0.07012941778324426</x:v>
      </x:c>
      <x:c r="J239" s="25" t="str">
        <x:v>FLOORSMAX_AVG__MISSING</x:v>
      </x:c>
      <x:c r="K239" s="25" t="n">
        <x:v>0</x:v>
      </x:c>
      <x:c r="L239" s="35" t="b">
        <x:v>0</x:v>
      </x:c>
    </x:row>
    <x:row r="240" ht="19" customHeight="1">
      <x:c r="A240" s="25" t="n">
        <x:v>1</x:v>
      </x:c>
      <x:c r="B240" s="28" t="n">
        <x:v>91095</x:v>
      </x:c>
      <x:c r="C240" s="25" t="n">
        <x:v>8328</x:v>
      </x:c>
      <x:c r="D240" s="25" t="n">
        <x:v>82767</x:v>
      </x:c>
      <x:c r="E240" s="25" t="n">
        <x:v>0.4920837346460719</x:v>
      </x:c>
      <x:c r="F240" s="25" t="n">
        <x:v>0.5638031410777146</x:v>
      </x:c>
      <x:c r="G240" s="25" t="n">
        <x:v>-0.136056255545551</x:v>
      </x:c>
      <x:c r="H240" s="25" t="n">
        <x:v>0.009757873889038806</x:v>
      </x:c>
      <x:c r="I240" s="30" t="n">
        <x:v>0.09142104396509139</x:v>
      </x:c>
      <x:c r="J240" s="25" t="str">
        <x:v>FLOORSMAX_AVG__MISSING</x:v>
      </x:c>
      <x:c r="K240" s="25" t="n">
        <x:v>1</x:v>
      </x:c>
      <x:c r="L240" s="35" t="b">
        <x:v>0</x:v>
      </x:c>
    </x:row>
    <x:row r="241" ht="19" customHeight="1">
      <x:c r="A241" s="25" t="str">
        <x:v>B0</x:v>
      </x:c>
      <x:c r="B241" s="28" t="n">
        <x:v>19144</x:v>
      </x:c>
      <x:c r="C241" s="25" t="n">
        <x:v>1679</x:v>
      </x:c>
      <x:c r="D241" s="25" t="n">
        <x:v>17465</x:v>
      </x:c>
      <x:c r="E241" s="25" t="n">
        <x:v>0.10383800189655736</x:v>
      </x:c>
      <x:c r="F241" s="25" t="n">
        <x:v>0.11368328425897722</x:v>
      </x:c>
      <x:c r="G241" s="25" t="n">
        <x:v>-0.09058436312235925</x:v>
      </x:c>
      <x:c r="H241" s="25" t="n">
        <x:v>0.0008918286325596003</x:v>
      </x:c>
      <x:c r="I241" s="30" t="n">
        <x:v>0.08770371918094443</x:v>
      </x:c>
      <x:c r="J241" s="25" t="str">
        <x:v>FLOORSMAX_AVG</x:v>
      </x:c>
      <x:c r="K241" s="25" t="str">
        <x:v>(-inf, 0.125]</x:v>
      </x:c>
      <x:c r="L241" s="35" t="b">
        <x:v>0</x:v>
      </x:c>
    </x:row>
    <x:row r="242" ht="19" customHeight="1">
      <x:c r="A242" s="25" t="str">
        <x:v>B1</x:v>
      </x:c>
      <x:c r="B242" s="28" t="n">
        <x:v>37214</x:v>
      </x:c>
      <x:c r="C242" s="25" t="n">
        <x:v>2659</x:v>
      </x:c>
      <x:c r="D242" s="25" t="n">
        <x:v>34555</x:v>
      </x:c>
      <x:c r="E242" s="25" t="n">
        <x:v>0.20544353580123603</x:v>
      </x:c>
      <x:c r="F242" s="25" t="n">
        <x:v>0.18001827596710326</x:v>
      </x:c>
      <x:c r="G242" s="25" t="n">
        <x:v>0.13211285233735096</x:v>
      </x:c>
      <x:c r="H242" s="25" t="n">
        <x:v>0.0033590035981055626</x:v>
      </x:c>
      <x:c r="I242" s="30" t="n">
        <x:v>0.07145160423496534</x:v>
      </x:c>
      <x:c r="J242" s="25" t="str">
        <x:v>FLOORSMAX_AVG</x:v>
      </x:c>
      <x:c r="K242" s="25" t="str">
        <x:v>(0.125, 0.16670001]</x:v>
      </x:c>
      <x:c r="L242" s="35" t="b">
        <x:v>0</x:v>
      </x:c>
    </x:row>
    <x:row r="243" ht="19" customHeight="1">
      <x:c r="A243" s="25" t="str">
        <x:v>B2</x:v>
      </x:c>
      <x:c r="B243" s="28" t="n">
        <x:v>22916</x:v>
      </x:c>
      <x:c r="C243" s="25" t="n">
        <x:v>1443</x:v>
      </x:c>
      <x:c r="D243" s="25" t="n">
        <x:v>21473</x:v>
      </x:c>
      <x:c r="E243" s="25" t="n">
        <x:v>0.12766684799895361</x:v>
      </x:c>
      <x:c r="F243" s="25" t="n">
        <x:v>0.09770873523538769</x:v>
      </x:c>
      <x:c r="G243" s="25" t="n">
        <x:v>0.2674331570616064</x:v>
      </x:c>
      <x:c r="H243" s="25" t="n">
        <x:v>0.008011792675968042</x:v>
      </x:c>
      <x:c r="I243" s="30" t="n">
        <x:v>0.0629691045557689</x:v>
      </x:c>
      <x:c r="J243" s="25" t="str">
        <x:v>FLOORSMAX_AVG</x:v>
      </x:c>
      <x:c r="K243" s="25" t="str">
        <x:v>(0.16670001, 0.33329999]</x:v>
      </x:c>
      <x:c r="L243" s="35" t="b">
        <x:v>0</x:v>
      </x:c>
    </x:row>
    <x:row r="244" ht="19" customHeight="1">
      <x:c r="A244" s="25" t="str">
        <x:v>B3</x:v>
      </x:c>
      <x:c r="B244" s="28" t="n">
        <x:v>12599</x:v>
      </x:c>
      <x:c r="C244" s="25" t="n">
        <x:v>662</x:v>
      </x:c>
      <x:c r="D244" s="25" t="n">
        <x:v>11937</x:v>
      </x:c>
      <x:c r="E244" s="25" t="n">
        <x:v>0.07097226805073736</x:v>
      </x:c>
      <x:c r="F244" s="25" t="n">
        <x:v>0.04484380817003418</x:v>
      </x:c>
      <x:c r="G244" s="25" t="n">
        <x:v>0.4591036873415139</x:v>
      </x:c>
      <x:c r="H244" s="25" t="n">
        <x:v>0.011995672275785645</x:v>
      </x:c>
      <x:c r="I244" s="30" t="n">
        <x:v>0.05254385268672117</x:v>
      </x:c>
      <x:c r="J244" s="25" t="str">
        <x:v>FLOORSMAX_AVG</x:v>
      </x:c>
      <x:c r="K244" s="25" t="str">
        <x:v>(0.33329999, inf]</x:v>
      </x:c>
      <x:c r="L244" s="35" t="b">
        <x:v>0</x:v>
      </x:c>
    </x:row>
    <x:row r="245" ht="19" customHeight="1">
      <x:c r="A245" s="25" t="str">
        <x:v>Missing</x:v>
      </x:c>
      <x:c r="B245" s="28" t="n">
        <x:v>91095</x:v>
      </x:c>
      <x:c r="C245" s="25" t="n">
        <x:v>8328</x:v>
      </x:c>
      <x:c r="D245" s="25" t="n">
        <x:v>82767</x:v>
      </x:c>
      <x:c r="E245" s="25" t="n">
        <x:v>0.4920793462525156</x:v>
      </x:c>
      <x:c r="F245" s="25" t="n">
        <x:v>0.5637458963684977</x:v>
      </x:c>
      <x:c r="G245" s="25" t="n">
        <x:v>-0.13596363526122954</x:v>
      </x:c>
      <x:c r="H245" s="25" t="n">
        <x:v>0.00974404468040002</x:v>
      </x:c>
      <x:c r="I245" s="30" t="n">
        <x:v>0.09142104396509139</x:v>
      </x:c>
      <x:c r="J245" s="25" t="str">
        <x:v>FLOORSMAX_AVG</x:v>
      </x:c>
      <x:c r="K245" s="25" t="str">
        <x:v>Missing</x:v>
      </x:c>
      <x:c r="L245" s="35" t="b">
        <x:v>0</x:v>
      </x:c>
    </x:row>
    <x:row r="246" ht="19" customHeight="1">
      <x:c r="A246" s="25" t="n">
        <x:v>0</x:v>
      </x:c>
      <x:c r="B246" s="28" t="n">
        <x:v>58742</x:v>
      </x:c>
      <x:c r="C246" s="25" t="n">
        <x:v>4076</x:v>
      </x:c>
      <x:c r="D246" s="25" t="n">
        <x:v>54666</x:v>
      </x:c>
      <x:c r="E246" s="25" t="n">
        <x:v>0.3250127825538948</x:v>
      </x:c>
      <x:c r="F246" s="25" t="n">
        <x:v>0.27596127809369075</x:v>
      </x:c>
      <x:c r="G246" s="25" t="n">
        <x:v>0.16360395337870878</x:v>
      </x:c>
      <x:c r="H246" s="25" t="n">
        <x:v>0.008025020048862751</x:v>
      </x:c>
      <x:c r="I246" s="30" t="n">
        <x:v>0.06938817200640088</x:v>
      </x:c>
      <x:c r="J246" s="25" t="str">
        <x:v>FLOORSMIN_AVG__MISSING</x:v>
      </x:c>
      <x:c r="K246" s="25" t="n">
        <x:v>0</x:v>
      </x:c>
      <x:c r="L246" s="35" t="b">
        <x:v>0</x:v>
      </x:c>
    </x:row>
    <x:row r="247" ht="19" customHeight="1">
      <x:c r="A247" s="25" t="n">
        <x:v>1</x:v>
      </x:c>
      <x:c r="B247" s="28" t="n">
        <x:v>124226</x:v>
      </x:c>
      <x:c r="C247" s="25" t="n">
        <x:v>10695</x:v>
      </x:c>
      <x:c r="D247" s="25" t="n">
        <x:v>113531</x:v>
      </x:c>
      <x:c r="E247" s="25" t="n">
        <x:v>0.6749872174461052</x:v>
      </x:c>
      <x:c r="F247" s="25" t="n">
        <x:v>0.7240387219063092</x:v>
      </x:c>
      <x:c r="G247" s="25" t="n">
        <x:v>-0.07015112067520386</x:v>
      </x:c>
      <x:c r="H247" s="25" t="n">
        <x:v>0.003441018008688072</x:v>
      </x:c>
      <x:c r="I247" s="30" t="n">
        <x:v>0.08609308840339382</x:v>
      </x:c>
      <x:c r="J247" s="25" t="str">
        <x:v>FLOORSMIN_AVG__MISSING</x:v>
      </x:c>
      <x:c r="K247" s="25" t="n">
        <x:v>1</x:v>
      </x:c>
      <x:c r="L247" s="35" t="b">
        <x:v>0</x:v>
      </x:c>
    </x:row>
    <x:row r="248" ht="19" customHeight="1">
      <x:c r="A248" s="25" t="str">
        <x:v>B0</x:v>
      </x:c>
      <x:c r="B248" s="28" t="n">
        <x:v>12020</x:v>
      </x:c>
      <x:c r="C248" s="25" t="n">
        <x:v>897</x:v>
      </x:c>
      <x:c r="D248" s="25" t="n">
        <x:v>11123</x:v>
      </x:c>
      <x:c r="E248" s="25" t="n">
        <x:v>0.0661327768512986</x:v>
      </x:c>
      <x:c r="F248" s="25" t="n">
        <x:v>0.06075066842657461</x:v>
      </x:c>
      <x:c r="G248" s="25" t="n">
        <x:v>0.08488640653365985</x:v>
      </x:c>
      <x:c r="H248" s="25" t="n">
        <x:v>0.0004568678437493567</x:v>
      </x:c>
      <x:c r="I248" s="30" t="n">
        <x:v>0.07462562396006656</x:v>
      </x:c>
      <x:c r="J248" s="25" t="str">
        <x:v>FLOORSMIN_AVG</x:v>
      </x:c>
      <x:c r="K248" s="25" t="str">
        <x:v>(-inf, 0.041700002]</x:v>
      </x:c>
      <x:c r="L248" s="35" t="b">
        <x:v>0</x:v>
      </x:c>
    </x:row>
    <x:row r="249" ht="19" customHeight="1">
      <x:c r="A249" s="25" t="str">
        <x:v>B1</x:v>
      </x:c>
      <x:c r="B249" s="28" t="n">
        <x:v>27362</x:v>
      </x:c>
      <x:c r="C249" s="25" t="n">
        <x:v>2057</x:v>
      </x:c>
      <x:c r="D249" s="25" t="n">
        <x:v>25305</x:v>
      </x:c>
      <x:c r="E249" s="25" t="n">
        <x:v>0.15044931762579555</x:v>
      </x:c>
      <x:c r="F249" s="25" t="n">
        <x:v>0.13926963820354013</x:v>
      </x:c>
      <x:c r="G249" s="25" t="n">
        <x:v>0.07721437025557445</x:v>
      </x:c>
      <x:c r="H249" s="25" t="n">
        <x:v>0.000863231906248657</x:v>
      </x:c>
      <x:c r="I249" s="30" t="n">
        <x:v>0.07517725312477158</x:v>
      </x:c>
      <x:c r="J249" s="25" t="str">
        <x:v>FLOORSMIN_AVG</x:v>
      </x:c>
      <x:c r="K249" s="25" t="str">
        <x:v>(0.041700002, 0.20829999]</x:v>
      </x:c>
      <x:c r="L249" s="35" t="b">
        <x:v>0</x:v>
      </x:c>
    </x:row>
    <x:row r="250" ht="19" customHeight="1">
      <x:c r="A250" s="25" t="str">
        <x:v>B2</x:v>
      </x:c>
      <x:c r="B250" s="28" t="n">
        <x:v>12567</x:v>
      </x:c>
      <x:c r="C250" s="25" t="n">
        <x:v>776</x:v>
      </x:c>
      <x:c r="D250" s="25" t="n">
        <x:v>11791</x:v>
      </x:c>
      <x:c r="E250" s="25" t="n">
        <x:v>0.07010425120169798</x:v>
      </x:c>
      <x:c r="F250" s="25" t="n">
        <x:v>0.05256032761363252</x:v>
      </x:c>
      <x:c r="G250" s="25" t="n">
        <x:v>0.2880218297260847</x:v>
      </x:c>
      <x:c r="H250" s="25" t="n">
        <x:v>0.005053032972409233</x:v>
      </x:c>
      <x:c r="I250" s="30" t="n">
        <x:v>0.0617490252247951</x:v>
      </x:c>
      <x:c r="J250" s="25" t="str">
        <x:v>FLOORSMIN_AVG</x:v>
      </x:c>
      <x:c r="K250" s="25" t="str">
        <x:v>(0.20829999, 0.375]</x:v>
      </x:c>
      <x:c r="L250" s="35" t="b">
        <x:v>0</x:v>
      </x:c>
    </x:row>
    <x:row r="251" ht="19" customHeight="1">
      <x:c r="A251" s="25" t="str">
        <x:v>B3</x:v>
      </x:c>
      <x:c r="B251" s="28" t="n">
        <x:v>6793</x:v>
      </x:c>
      <x:c r="C251" s="25" t="n">
        <x:v>346</x:v>
      </x:c>
      <x:c r="D251" s="25" t="n">
        <x:v>6447</x:v>
      </x:c>
      <x:c r="E251" s="25" t="n">
        <x:v>0.03833245639850297</x:v>
      </x:c>
      <x:c r="F251" s="25" t="n">
        <x:v>0.023454157782515993</x:v>
      </x:c>
      <x:c r="G251" s="25" t="n">
        <x:v>0.4912491795384474</x:v>
      </x:c>
      <x:c r="H251" s="25" t="n">
        <x:v>0.0073089519880316185</x:v>
      </x:c>
      <x:c r="I251" s="30" t="n">
        <x:v>0.05093478580892095</x:v>
      </x:c>
      <x:c r="J251" s="25" t="str">
        <x:v>FLOORSMIN_AVG</x:v>
      </x:c>
      <x:c r="K251" s="25" t="str">
        <x:v>(0.375, inf]</x:v>
      </x:c>
      <x:c r="L251" s="35" t="b">
        <x:v>0</x:v>
      </x:c>
    </x:row>
    <x:row r="252" ht="19" customHeight="1">
      <x:c r="A252" s="25" t="str">
        <x:v>Missing</x:v>
      </x:c>
      <x:c r="B252" s="28" t="n">
        <x:v>124226</x:v>
      </x:c>
      <x:c r="C252" s="25" t="n">
        <x:v>10695</x:v>
      </x:c>
      <x:c r="D252" s="25" t="n">
        <x:v>113531</x:v>
      </x:c>
      <x:c r="E252" s="25" t="n">
        <x:v>0.6749811979227048</x:v>
      </x:c>
      <x:c r="F252" s="25" t="n">
        <x:v>0.7239652079737368</x:v>
      </x:c>
      <x:c r="G252" s="25" t="n">
        <x:v>-0.07005850039088225</x:v>
      </x:c>
      <x:c r="H252" s="25" t="n">
        <x:v>0.0034317462873072</x:v>
      </x:c>
      <x:c r="I252" s="30" t="n">
        <x:v>0.08609308840339382</x:v>
      </x:c>
      <x:c r="J252" s="25" t="str">
        <x:v>FLOORSMIN_AVG</x:v>
      </x:c>
      <x:c r="K252" s="25" t="str">
        <x:v>Missing</x:v>
      </x:c>
      <x:c r="L252" s="35" t="b">
        <x:v>0</x:v>
      </x:c>
    </x:row>
    <x:row r="253" ht="19" customHeight="1">
      <x:c r="A253" s="25" t="n">
        <x:v>0</x:v>
      </x:c>
      <x:c r="B253" s="28" t="n">
        <x:v>74309</x:v>
      </x:c>
      <x:c r="C253" s="25" t="n">
        <x:v>5257</x:v>
      </x:c>
      <x:c r="D253" s="25" t="n">
        <x:v>69052</x:v>
      </x:c>
      <x:c r="E253" s="25" t="n">
        <x:v>0.41054293154496485</x:v>
      </x:c>
      <x:c r="F253" s="25" t="n">
        <x:v>0.3559098294069862</x:v>
      </x:c>
      <x:c r="G253" s="25" t="n">
        <x:v>0.1428030963818397</x:v>
      </x:c>
      <x:c r="H253" s="25" t="n">
        <x:v>0.007801776150248661</x:v>
      </x:c>
      <x:c r="I253" s="30" t="n">
        <x:v>0.07074513181445047</x:v>
      </x:c>
      <x:c r="J253" s="25" t="str">
        <x:v>LANDAREA_AVG__MISSING</x:v>
      </x:c>
      <x:c r="K253" s="25" t="n">
        <x:v>0</x:v>
      </x:c>
      <x:c r="L253" s="35" t="b">
        <x:v>0</x:v>
      </x:c>
    </x:row>
    <x:row r="254" ht="19" customHeight="1">
      <x:c r="A254" s="25" t="n">
        <x:v>1</x:v>
      </x:c>
      <x:c r="B254" s="28" t="n">
        <x:v>108659</x:v>
      </x:c>
      <x:c r="C254" s="25" t="n">
        <x:v>9514</x:v>
      </x:c>
      <x:c r="D254" s="25" t="n">
        <x:v>99145</x:v>
      </x:c>
      <x:c r="E254" s="25" t="n">
        <x:v>0.5894570684550351</x:v>
      </x:c>
      <x:c r="F254" s="25" t="n">
        <x:v>0.6440901705930138</x:v>
      </x:c>
      <x:c r="G254" s="25" t="n">
        <x:v>-0.08863684247462379</x:v>
      </x:c>
      <x:c r="H254" s="25" t="n">
        <x:v>0.004842505668104048</x:v>
      </x:c>
      <x:c r="I254" s="30" t="n">
        <x:v>0.08755832466707773</x:v>
      </x:c>
      <x:c r="J254" s="25" t="str">
        <x:v>LANDAREA_AVG__MISSING</x:v>
      </x:c>
      <x:c r="K254" s="25" t="n">
        <x:v>1</x:v>
      </x:c>
      <x:c r="L254" s="35" t="b">
        <x:v>0</x:v>
      </x:c>
    </x:row>
    <x:row r="255" ht="19" customHeight="1">
      <x:c r="A255" s="25" t="str">
        <x:v>B0</x:v>
      </x:c>
      <x:c r="B255" s="28" t="n">
        <x:v>14921</x:v>
      </x:c>
      <x:c r="C255" s="25" t="n">
        <x:v>1086</x:v>
      </x:c>
      <x:c r="D255" s="25" t="n">
        <x:v>13835</x:v>
      </x:c>
      <x:c r="E255" s="25" t="n">
        <x:v>0.08225624256837098</x:v>
      </x:c>
      <x:c r="F255" s="25" t="n">
        <x:v>0.0735413564369839</x:v>
      </x:c>
      <x:c r="G255" s="25" t="n">
        <x:v>0.11199136366326748</x:v>
      </x:c>
      <x:c r="H255" s="25" t="n">
        <x:v>0.0009759919820241375</x:v>
      </x:c>
      <x:c r="I255" s="30" t="n">
        <x:v>0.07278332551437572</x:v>
      </x:c>
      <x:c r="J255" s="25" t="str">
        <x:v>LANDAREA_AVG</x:v>
      </x:c>
      <x:c r="K255" s="25" t="str">
        <x:v>(-inf, 0.0139]</x:v>
      </x:c>
      <x:c r="L255" s="35" t="b">
        <x:v>0</x:v>
      </x:c>
    </x:row>
    <x:row r="256" ht="19" customHeight="1">
      <x:c r="A256" s="25" t="str">
        <x:v>B1</x:v>
      </x:c>
      <x:c r="B256" s="28" t="n">
        <x:v>14828</x:v>
      </x:c>
      <x:c r="C256" s="25" t="n">
        <x:v>1128</x:v>
      </x:c>
      <x:c r="D256" s="25" t="n">
        <x:v>13700</x:v>
      </x:c>
      <x:c r="E256" s="25" t="n">
        <x:v>0.08145362663495838</x:v>
      </x:c>
      <x:c r="F256" s="25" t="n">
        <x:v>0.07638418843914986</x:v>
      </x:c>
      <x:c r="G256" s="25" t="n">
        <x:v>0.0642581428107135</x:v>
      </x:c>
      <x:c r="H256" s="25" t="n">
        <x:v>0.0003257526835563495</x:v>
      </x:c>
      <x:c r="I256" s="30" t="n">
        <x:v>0.0760722956568654</x:v>
      </x:c>
      <x:c r="J256" s="25" t="str">
        <x:v>LANDAREA_AVG</x:v>
      </x:c>
      <x:c r="K256" s="25" t="str">
        <x:v>(0.0139, 0.035700001]</x:v>
      </x:c>
      <x:c r="L256" s="35" t="b">
        <x:v>0</x:v>
      </x:c>
    </x:row>
    <x:row r="257" ht="19" customHeight="1">
      <x:c r="A257" s="25" t="str">
        <x:v>B2</x:v>
      </x:c>
      <x:c r="B257" s="28" t="n">
        <x:v>14883</x:v>
      </x:c>
      <x:c r="C257" s="25" t="n">
        <x:v>1069</x:v>
      </x:c>
      <x:c r="D257" s="25" t="n">
        <x:v>13814</x:v>
      </x:c>
      <x:c r="E257" s="25" t="n">
        <x:v>0.08213139120095125</x:v>
      </x:c>
      <x:c r="F257" s="25" t="n">
        <x:v>0.07239068634086909</x:v>
      </x:c>
      <x:c r="G257" s="25" t="n">
        <x:v>0.1262426472034533</x:v>
      </x:c>
      <x:c r="H257" s="25" t="n">
        <x:v>0.0012296923671643151</x:v>
      </x:c>
      <x:c r="I257" s="30" t="n">
        <x:v>0.0718269166162736</x:v>
      </x:c>
      <x:c r="J257" s="25" t="str">
        <x:v>LANDAREA_AVG</x:v>
      </x:c>
      <x:c r="K257" s="25" t="str">
        <x:v>(0.035700001, 0.060600001]</x:v>
      </x:c>
      <x:c r="L257" s="35" t="b">
        <x:v>0</x:v>
      </x:c>
    </x:row>
    <x:row r="258" ht="19" customHeight="1">
      <x:c r="A258" s="25" t="str">
        <x:v>B3</x:v>
      </x:c>
      <x:c r="B258" s="28" t="n">
        <x:v>14825</x:v>
      </x:c>
      <x:c r="C258" s="25" t="n">
        <x:v>1015</x:v>
      </x:c>
      <x:c r="D258" s="25" t="n">
        <x:v>13810</x:v>
      </x:c>
      <x:c r="E258" s="25" t="n">
        <x:v>0.0821076099881094</x:v>
      </x:c>
      <x:c r="F258" s="25" t="n">
        <x:v>0.06873561662379857</x:v>
      </x:c>
      <x:c r="G258" s="25" t="n">
        <x:v>0.17776320194326928</x:v>
      </x:c>
      <x:c r="H258" s="25" t="n">
        <x:v>0.002377048356804043</x:v>
      </x:c>
      <x:c r="I258" s="30" t="n">
        <x:v>0.06846543001686341</x:v>
      </x:c>
      <x:c r="J258" s="25" t="str">
        <x:v>LANDAREA_AVG</x:v>
      </x:c>
      <x:c r="K258" s="25" t="str">
        <x:v>(0.060600001, 0.0977]</x:v>
      </x:c>
      <x:c r="L258" s="35" t="b">
        <x:v>0</x:v>
      </x:c>
    </x:row>
    <x:row r="259" ht="19" customHeight="1">
      <x:c r="A259" s="25" t="str">
        <x:v>B4</x:v>
      </x:c>
      <x:c r="B259" s="28" t="n">
        <x:v>14852</x:v>
      </x:c>
      <x:c r="C259" s="25" t="n">
        <x:v>959</x:v>
      </x:c>
      <x:c r="D259" s="25" t="n">
        <x:v>13893</x:v>
      </x:c>
      <x:c r="E259" s="25" t="n">
        <x:v>0.08260107015457788</x:v>
      </x:c>
      <x:c r="F259" s="25" t="n">
        <x:v>0.06494517395424394</x:v>
      </x:c>
      <x:c r="G259" s="25" t="n">
        <x:v>0.24047919996835754</x:v>
      </x:c>
      <x:c r="H259" s="25" t="n">
        <x:v>0.004245875792980669</x:v>
      </x:c>
      <x:c r="I259" s="30" t="n">
        <x:v>0.06457042822515487</x:v>
      </x:c>
      <x:c r="J259" s="25" t="str">
        <x:v>LANDAREA_AVG</x:v>
      </x:c>
      <x:c r="K259" s="25" t="str">
        <x:v>(0.0977, inf]</x:v>
      </x:c>
      <x:c r="L259" s="35" t="b">
        <x:v>0</x:v>
      </x:c>
    </x:row>
    <x:row r="260" ht="19" customHeight="1">
      <x:c r="A260" s="25" t="str">
        <x:v>Missing</x:v>
      </x:c>
      <x:c r="B260" s="28" t="n">
        <x:v>108659</x:v>
      </x:c>
      <x:c r="C260" s="25" t="n">
        <x:v>9514</x:v>
      </x:c>
      <x:c r="D260" s="25" t="n">
        <x:v>99145</x:v>
      </x:c>
      <x:c r="E260" s="25" t="n">
        <x:v>0.5894500594530321</x:v>
      </x:c>
      <x:c r="F260" s="25" t="n">
        <x:v>0.6440029782049547</x:v>
      </x:c>
      <x:c r="G260" s="25" t="n">
        <x:v>-0.08851335103550936</x:v>
      </x:c>
      <x:c r="H260" s="25" t="n">
        <x:v>0.004828661647500545</x:v>
      </x:c>
      <x:c r="I260" s="30" t="n">
        <x:v>0.08755832466707773</x:v>
      </x:c>
      <x:c r="J260" s="25" t="str">
        <x:v>LANDAREA_AVG</x:v>
      </x:c>
      <x:c r="K260" s="25" t="str">
        <x:v>Missing</x:v>
      </x:c>
      <x:c r="L260" s="35" t="b">
        <x:v>0</x:v>
      </x:c>
    </x:row>
    <x:row r="261" ht="19" customHeight="1">
      <x:c r="A261" s="25" t="n">
        <x:v>0</x:v>
      </x:c>
      <x:c r="B261" s="28" t="n">
        <x:v>57940</x:v>
      </x:c>
      <x:c r="C261" s="25" t="n">
        <x:v>4047</x:v>
      </x:c>
      <x:c r="D261" s="25" t="n">
        <x:v>53893</x:v>
      </x:c>
      <x:c r="E261" s="25" t="n">
        <x:v>0.3204170085256662</x:v>
      </x:c>
      <x:c r="F261" s="25" t="n">
        <x:v>0.2739981045220688</x:v>
      </x:c>
      <x:c r="G261" s="25" t="n">
        <x:v>0.156502110509856</x:v>
      </x:c>
      <x:c r="H261" s="25" t="n">
        <x:v>0.007264656444117394</x:v>
      </x:c>
      <x:c r="I261" s="30" t="n">
        <x:v>0.06984811874352778</x:v>
      </x:c>
      <x:c r="J261" s="25" t="str">
        <x:v>LIVINGAPARTMENTS_AVG__MISSING</x:v>
      </x:c>
      <x:c r="K261" s="25" t="n">
        <x:v>0</x:v>
      </x:c>
      <x:c r="L261" s="35" t="b">
        <x:v>0</x:v>
      </x:c>
    </x:row>
    <x:row r="262" ht="19" customHeight="1">
      <x:c r="A262" s="25" t="n">
        <x:v>1</x:v>
      </x:c>
      <x:c r="B262" s="28" t="n">
        <x:v>125028</x:v>
      </x:c>
      <x:c r="C262" s="25" t="n">
        <x:v>10724</x:v>
      </x:c>
      <x:c r="D262" s="25" t="n">
        <x:v>114304</x:v>
      </x:c>
      <x:c r="E262" s="25" t="n">
        <x:v>0.6795829914743339</x:v>
      </x:c>
      <x:c r="F262" s="25" t="n">
        <x:v>0.7260018954779313</x:v>
      </x:c>
      <x:c r="G262" s="25" t="n">
        <x:v>-0.06607326344760471</x:v>
      </x:c>
      <x:c r="H262" s="25" t="n">
        <x:v>0.003067048473178763</x:v>
      </x:c>
      <x:c r="I262" s="30" t="n">
        <x:v>0.08577278689573535</x:v>
      </x:c>
      <x:c r="J262" s="25" t="str">
        <x:v>LIVINGAPARTMENTS_AVG__MISSING</x:v>
      </x:c>
      <x:c r="K262" s="25" t="n">
        <x:v>1</x:v>
      </x:c>
      <x:c r="L262" s="35" t="b">
        <x:v>0</x:v>
      </x:c>
    </x:row>
    <x:row r="263" ht="19" customHeight="1">
      <x:c r="A263" s="25" t="str">
        <x:v>B0</x:v>
      </x:c>
      <x:c r="B263" s="28" t="n">
        <x:v>11630</x:v>
      </x:c>
      <x:c r="C263" s="25" t="n">
        <x:v>1001</x:v>
      </x:c>
      <x:c r="D263" s="25" t="n">
        <x:v>10629</x:v>
      </x:c>
      <x:c r="E263" s="25" t="n">
        <x:v>0.06319560047562425</x:v>
      </x:c>
      <x:c r="F263" s="25" t="n">
        <x:v>0.06778800595640991</x:v>
      </x:c>
      <x:c r="G263" s="25" t="n">
        <x:v>-0.07015058999705782</x:v>
      </x:c>
      <x:c r="H263" s="25" t="n">
        <x:v>0.0003221599539828357</x:v>
      </x:c>
      <x:c r="I263" s="30" t="n">
        <x:v>0.08607050730868444</x:v>
      </x:c>
      <x:c r="J263" s="25" t="str">
        <x:v>LIVINGAPARTMENTS_AVG</x:v>
      </x:c>
      <x:c r="K263" s="25" t="str">
        <x:v>(-inf, 0.041999999]</x:v>
      </x:c>
      <x:c r="L263" s="35" t="b">
        <x:v>0</x:v>
      </x:c>
    </x:row>
    <x:row r="264" ht="19" customHeight="1">
      <x:c r="A264" s="25" t="str">
        <x:v>B1</x:v>
      </x:c>
      <x:c r="B264" s="28" t="n">
        <x:v>11592</x:v>
      </x:c>
      <x:c r="C264" s="25" t="n">
        <x:v>815</x:v>
      </x:c>
      <x:c r="D264" s="25" t="n">
        <x:v>10777</x:v>
      </x:c>
      <x:c r="E264" s="25" t="n">
        <x:v>0.06407550535077289</x:v>
      </x:c>
      <x:c r="F264" s="25" t="n">
        <x:v>0.0551983213753892</x:v>
      </x:c>
      <x:c r="G264" s="25" t="n">
        <x:v>0.14912961612791947</x:v>
      </x:c>
      <x:c r="H264" s="25" t="n">
        <x:v>0.0013238510385458874</x:v>
      </x:c>
      <x:c r="I264" s="30" t="n">
        <x:v>0.07030710835058661</x:v>
      </x:c>
      <x:c r="J264" s="25" t="str">
        <x:v>LIVINGAPARTMENTS_AVG</x:v>
      </x:c>
      <x:c r="K264" s="25" t="str">
        <x:v>(0.041999999, 0.063900001]</x:v>
      </x:c>
      <x:c r="L264" s="35" t="b">
        <x:v>0</x:v>
      </x:c>
    </x:row>
    <x:row r="265" ht="19" customHeight="1">
      <x:c r="A265" s="25" t="str">
        <x:v>B2</x:v>
      </x:c>
      <x:c r="B265" s="28" t="n">
        <x:v>11602</x:v>
      </x:c>
      <x:c r="C265" s="25" t="n">
        <x:v>784</x:v>
      </x:c>
      <x:c r="D265" s="25" t="n">
        <x:v>10818</x:v>
      </x:c>
      <x:c r="E265" s="25" t="n">
        <x:v>0.06431926278240191</x:v>
      </x:c>
      <x:c r="F265" s="25" t="n">
        <x:v>0.053100040611885745</x:v>
      </x:c>
      <x:c r="G265" s="25" t="n">
        <x:v>0.19168147002209557</x:v>
      </x:c>
      <x:c r="H265" s="25" t="n">
        <x:v>0.0021505169981490243</x:v>
      </x:c>
      <x:c r="I265" s="30" t="n">
        <x:v>0.06757455611101534</x:v>
      </x:c>
      <x:c r="J265" s="25" t="str">
        <x:v>LIVINGAPARTMENTS_AVG</x:v>
      </x:c>
      <x:c r="K265" s="25" t="str">
        <x:v>(0.063900001, 0.089900002]</x:v>
      </x:c>
      <x:c r="L265" s="35" t="b">
        <x:v>0</x:v>
      </x:c>
    </x:row>
    <x:row r="266" ht="19" customHeight="1">
      <x:c r="A266" s="25" t="str">
        <x:v>B3</x:v>
      </x:c>
      <x:c r="B266" s="28" t="n">
        <x:v>11559</x:v>
      </x:c>
      <x:c r="C266" s="25" t="n">
        <x:v>747</x:v>
      </x:c>
      <x:c r="D266" s="25" t="n">
        <x:v>10812</x:v>
      </x:c>
      <x:c r="E266" s="25" t="n">
        <x:v>0.06428359096313913</x:v>
      </x:c>
      <x:c r="F266" s="25" t="n">
        <x:v>0.05059564099093001</x:v>
      </x:c>
      <x:c r="G266" s="25" t="n">
        <x:v>0.23943897754299173</x:v>
      </x:c>
      <x:c r="H266" s="25" t="n">
        <x:v>0.003277428746005373</x:v>
      </x:c>
      <x:c r="I266" s="30" t="n">
        <x:v>0.06462496755774721</x:v>
      </x:c>
      <x:c r="J266" s="25" t="str">
        <x:v>LIVINGAPARTMENTS_AVG</x:v>
      </x:c>
      <x:c r="K266" s="25" t="str">
        <x:v>(0.089900002, 0.1437]</x:v>
      </x:c>
      <x:c r="L266" s="35" t="b">
        <x:v>0</x:v>
      </x:c>
    </x:row>
    <x:row r="267" ht="19" customHeight="1">
      <x:c r="A267" s="25" t="str">
        <x:v>B4</x:v>
      </x:c>
      <x:c r="B267" s="28" t="n">
        <x:v>11557</x:v>
      </x:c>
      <x:c r="C267" s="25" t="n">
        <x:v>700</x:v>
      </x:c>
      <x:c r="D267" s="25" t="n">
        <x:v>10857</x:v>
      </x:c>
      <x:c r="E267" s="25" t="n">
        <x:v>0.06455112960760999</x:v>
      </x:c>
      <x:c r="F267" s="25" t="n">
        <x:v>0.047414376607553814</x:v>
      </x:c>
      <x:c r="G267" s="25" t="n">
        <x:v>0.30853213019961345</x:v>
      </x:c>
      <x:c r="H267" s="25" t="n">
        <x:v>0.0052872389078119485</x:v>
      </x:c>
      <x:c r="I267" s="30" t="n">
        <x:v>0.06056935190793458</x:v>
      </x:c>
      <x:c r="J267" s="25" t="str">
        <x:v>LIVINGAPARTMENTS_AVG</x:v>
      </x:c>
      <x:c r="K267" s="25" t="str">
        <x:v>(0.1437, inf]</x:v>
      </x:c>
      <x:c r="L267" s="35" t="b">
        <x:v>0</x:v>
      </x:c>
    </x:row>
    <x:row r="268" ht="19" customHeight="1">
      <x:c r="A268" s="25" t="str">
        <x:v>Missing</x:v>
      </x:c>
      <x:c r="B268" s="28" t="n">
        <x:v>125028</x:v>
      </x:c>
      <x:c r="C268" s="25" t="n">
        <x:v>10724</x:v>
      </x:c>
      <x:c r="D268" s="25" t="n">
        <x:v>114304</x:v>
      </x:c>
      <x:c r="E268" s="25" t="n">
        <x:v>0.6795749108204518</x:v>
      </x:c>
      <x:c r="F268" s="25" t="n">
        <x:v>0.7259036144578314</x:v>
      </x:c>
      <x:c r="G268" s="25" t="n">
        <x:v>-0.06594977200849027</x:v>
      </x:c>
      <x:c r="H268" s="25" t="n">
        <x:v>0.0030553674423340923</x:v>
      </x:c>
      <x:c r="I268" s="30" t="n">
        <x:v>0.08577278689573535</x:v>
      </x:c>
      <x:c r="J268" s="25" t="str">
        <x:v>LIVINGAPARTMENTS_AVG</x:v>
      </x:c>
      <x:c r="K268" s="25" t="str">
        <x:v>Missing</x:v>
      </x:c>
      <x:c r="L268" s="35" t="b">
        <x:v>0</x:v>
      </x:c>
    </x:row>
    <x:row r="269" ht="19" customHeight="1">
      <x:c r="A269" s="25" t="n">
        <x:v>0</x:v>
      </x:c>
      <x:c r="B269" s="28" t="n">
        <x:v>91025</x:v>
      </x:c>
      <x:c r="C269" s="25" t="n">
        <x:v>6423</x:v>
      </x:c>
      <x:c r="D269" s="25" t="n">
        <x:v>84602</x:v>
      </x:c>
      <x:c r="E269" s="25" t="n">
        <x:v>0.5029934957609484</x:v>
      </x:c>
      <x:c r="F269" s="25" t="n">
        <x:v>0.43484294611427027</x:v>
      </x:c>
      <x:c r="G269" s="25" t="n">
        <x:v>0.14559231664204017</x:v>
      </x:c>
      <x:c r="H269" s="25" t="n">
        <x:v>0.009922196403488246</x:v>
      </x:c>
      <x:c r="I269" s="30" t="n">
        <x:v>0.07056303213402912</x:v>
      </x:c>
      <x:c r="J269" s="25" t="str">
        <x:v>LIVINGAREA_AVG__MISSING</x:v>
      </x:c>
      <x:c r="K269" s="25" t="n">
        <x:v>0</x:v>
      </x:c>
      <x:c r="L269" s="35" t="b">
        <x:v>0</x:v>
      </x:c>
    </x:row>
    <x:row r="270" ht="19" customHeight="1">
      <x:c r="A270" s="25" t="n">
        <x:v>1</x:v>
      </x:c>
      <x:c r="B270" s="28" t="n">
        <x:v>91943</x:v>
      </x:c>
      <x:c r="C270" s="25" t="n">
        <x:v>8348</x:v>
      </x:c>
      <x:c r="D270" s="25" t="n">
        <x:v>83595</x:v>
      </x:c>
      <x:c r="E270" s="25" t="n">
        <x:v>0.49700650423905157</x:v>
      </x:c>
      <x:c r="F270" s="25" t="n">
        <x:v>0.5651570538857298</x:v>
      </x:c>
      <x:c r="G270" s="25" t="n">
        <x:v>-0.12850055098759655</x:v>
      </x:c>
      <x:c r="H270" s="25" t="n">
        <x:v>0.008757383179705704</x:v>
      </x:c>
      <x:c r="I270" s="30" t="n">
        <x:v>0.09079538409666858</x:v>
      </x:c>
      <x:c r="J270" s="25" t="str">
        <x:v>LIVINGAREA_AVG__MISSING</x:v>
      </x:c>
      <x:c r="K270" s="25" t="n">
        <x:v>1</x:v>
      </x:c>
      <x:c r="L270" s="35" t="b">
        <x:v>0</x:v>
      </x:c>
    </x:row>
    <x:row r="271" ht="19" customHeight="1">
      <x:c r="A271" s="25" t="str">
        <x:v>B0</x:v>
      </x:c>
      <x:c r="B271" s="28" t="n">
        <x:v>18223</x:v>
      </x:c>
      <x:c r="C271" s="25" t="n">
        <x:v>1605</x:v>
      </x:c>
      <x:c r="D271" s="25" t="n">
        <x:v>16618</x:v>
      </x:c>
      <x:c r="E271" s="25" t="n">
        <x:v>0.09880202140309156</x:v>
      </x:c>
      <x:c r="F271" s="25" t="n">
        <x:v>0.1086706376066062</x:v>
      </x:c>
      <x:c r="G271" s="25" t="n">
        <x:v>-0.09520357033303287</x:v>
      </x:c>
      <x:c r="H271" s="25" t="n">
        <x:v>0.000939527496821013</x:v>
      </x:c>
      <x:c r="I271" s="30" t="n">
        <x:v>0.08807550897217802</x:v>
      </x:c>
      <x:c r="J271" s="25" t="str">
        <x:v>LIVINGAREA_AVG</x:v>
      </x:c>
      <x:c r="K271" s="25" t="str">
        <x:v>(-inf, 0.035599999]</x:v>
      </x:c>
      <x:c r="L271" s="35" t="b">
        <x:v>0</x:v>
      </x:c>
    </x:row>
    <x:row r="272" ht="19" customHeight="1">
      <x:c r="A272" s="25" t="str">
        <x:v>B1</x:v>
      </x:c>
      <x:c r="B272" s="28" t="n">
        <x:v>18287</x:v>
      </x:c>
      <x:c r="C272" s="25" t="n">
        <x:v>1346</x:v>
      </x:c>
      <x:c r="D272" s="25" t="n">
        <x:v>16941</x:v>
      </x:c>
      <x:c r="E272" s="25" t="n">
        <x:v>0.10072235434007135</x:v>
      </x:c>
      <x:c r="F272" s="25" t="n">
        <x:v>0.09113984025991607</x:v>
      </x:c>
      <x:c r="G272" s="25" t="n">
        <x:v>0.09997273141778411</x:v>
      </x:c>
      <x:c r="H272" s="25" t="n">
        <x:v>0.0009579901064424975</x:v>
      </x:c>
      <x:c r="I272" s="30" t="n">
        <x:v>0.07360419970470826</x:v>
      </x:c>
      <x:c r="J272" s="25" t="str">
        <x:v>LIVINGAREA_AVG</x:v>
      </x:c>
      <x:c r="K272" s="25" t="str">
        <x:v>(0.035599999, 0.063100003]</x:v>
      </x:c>
      <x:c r="L272" s="35" t="b">
        <x:v>0</x:v>
      </x:c>
    </x:row>
    <x:row r="273" ht="19" customHeight="1">
      <x:c r="A273" s="25" t="str">
        <x:v>B2</x:v>
      </x:c>
      <x:c r="B273" s="28" t="n">
        <x:v>18159</x:v>
      </x:c>
      <x:c r="C273" s="25" t="n">
        <x:v>1251</x:v>
      </x:c>
      <x:c r="D273" s="25" t="n">
        <x:v>16908</x:v>
      </x:c>
      <x:c r="E273" s="25" t="n">
        <x:v>0.10052615933412604</x:v>
      </x:c>
      <x:c r="F273" s="25" t="n">
        <x:v>0.08470962501692161</x:v>
      </x:c>
      <x:c r="G273" s="25" t="n">
        <x:v>0.1711887537456441</x:v>
      </x:c>
      <x:c r="H273" s="25" t="n">
        <x:v>0.0027076127983374373</x:v>
      </x:c>
      <x:c r="I273" s="30" t="n">
        <x:v>0.06889145878076987</x:v>
      </x:c>
      <x:c r="J273" s="25" t="str">
        <x:v>LIVINGAREA_AVG</x:v>
      </x:c>
      <x:c r="K273" s="25" t="str">
        <x:v>(0.063100003, 0.089100003]</x:v>
      </x:c>
      <x:c r="L273" s="35" t="b">
        <x:v>0</x:v>
      </x:c>
    </x:row>
    <x:row r="274" ht="19" customHeight="1">
      <x:c r="A274" s="25" t="str">
        <x:v>B3</x:v>
      </x:c>
      <x:c r="B274" s="28" t="n">
        <x:v>18162</x:v>
      </x:c>
      <x:c r="C274" s="25" t="n">
        <x:v>1157</x:v>
      </x:c>
      <x:c r="D274" s="25" t="n">
        <x:v>17005</x:v>
      </x:c>
      <x:c r="E274" s="25" t="n">
        <x:v>0.10110285374554102</x:v>
      </x:c>
      <x:c r="F274" s="25" t="n">
        <x:v>0.07834709625016921</x:v>
      </x:c>
      <x:c r="G274" s="25" t="n">
        <x:v>0.25498944573307236</x:v>
      </x:c>
      <x:c r="H274" s="25" t="n">
        <x:v>0.005802477990981066</x:v>
      </x:c>
      <x:c r="I274" s="30" t="n">
        <x:v>0.0637044378372426</x:v>
      </x:c>
      <x:c r="J274" s="25" t="str">
        <x:v>LIVINGAREA_AVG</x:v>
      </x:c>
      <x:c r="K274" s="25" t="str">
        <x:v>(0.089100003, 0.1534]</x:v>
      </x:c>
      <x:c r="L274" s="35" t="b">
        <x:v>0</x:v>
      </x:c>
    </x:row>
    <x:row r="275" ht="19" customHeight="1">
      <x:c r="A275" s="25" t="str">
        <x:v>B4</x:v>
      </x:c>
      <x:c r="B275" s="28" t="n">
        <x:v>18194</x:v>
      </x:c>
      <x:c r="C275" s="25" t="n">
        <x:v>1064</x:v>
      </x:c>
      <x:c r="D275" s="25" t="n">
        <x:v>17130</x:v>
      </x:c>
      <x:c r="E275" s="25" t="n">
        <x:v>0.10184601664684899</x:v>
      </x:c>
      <x:c r="F275" s="25" t="n">
        <x:v>0.07205225395965886</x:v>
      </x:c>
      <x:c r="G275" s="25" t="n">
        <x:v>0.3460704266844372</x:v>
      </x:c>
      <x:c r="H275" s="25" t="n">
        <x:v>0.010310740165690752</x:v>
      </x:c>
      <x:c r="I275" s="30" t="n">
        <x:v>0.05848081785203913</x:v>
      </x:c>
      <x:c r="J275" s="25" t="str">
        <x:v>LIVINGAREA_AVG</x:v>
      </x:c>
      <x:c r="K275" s="25" t="str">
        <x:v>(0.1534, inf]</x:v>
      </x:c>
      <x:c r="L275" s="35" t="b">
        <x:v>0</x:v>
      </x:c>
    </x:row>
    <x:row r="276" ht="19" customHeight="1">
      <x:c r="A276" s="25" t="str">
        <x:v>Missing</x:v>
      </x:c>
      <x:c r="B276" s="28" t="n">
        <x:v>91943</x:v>
      </x:c>
      <x:c r="C276" s="25" t="n">
        <x:v>8348</x:v>
      </x:c>
      <x:c r="D276" s="25" t="n">
        <x:v>83595</x:v>
      </x:c>
      <x:c r="E276" s="25" t="n">
        <x:v>0.497000594530321</x:v>
      </x:c>
      <x:c r="F276" s="25" t="n">
        <x:v>0.565080546906728</x:v>
      </x:c>
      <x:c r="G276" s="25" t="n">
        <x:v>-0.12837705954848203</x:v>
      </x:c>
      <x:c r="H276" s="25" t="n">
        <x:v>0.008739904100283824</x:v>
      </x:c>
      <x:c r="I276" s="30" t="n">
        <x:v>0.09079538409666858</x:v>
      </x:c>
      <x:c r="J276" s="25" t="str">
        <x:v>LIVINGAREA_AVG</x:v>
      </x:c>
      <x:c r="K276" s="25" t="str">
        <x:v>Missing</x:v>
      </x:c>
      <x:c r="L276" s="35" t="b">
        <x:v>0</x:v>
      </x:c>
    </x:row>
    <x:row r="277" ht="19" customHeight="1">
      <x:c r="A277" s="25" t="n">
        <x:v>0</x:v>
      </x:c>
      <x:c r="B277" s="28" t="n">
        <x:v>56017</x:v>
      </x:c>
      <x:c r="C277" s="25" t="n">
        <x:v>3923</x:v>
      </x:c>
      <x:c r="D277" s="25" t="n">
        <x:v>52094</x:v>
      </x:c>
      <x:c r="E277" s="25" t="n">
        <x:v>0.309721280871354</x:v>
      </x:c>
      <x:c r="F277" s="25" t="n">
        <x:v>0.2656038451123748</x:v>
      </x:c>
      <x:c r="G277" s="25" t="n">
        <x:v>0.15366690451119866</x:v>
      </x:c>
      <x:c r="H277" s="25" t="n">
        <x:v>0.006779389788053997</x:v>
      </x:c>
      <x:c r="I277" s="30" t="n">
        <x:v>0.07003231161968689</x:v>
      </x:c>
      <x:c r="J277" s="25" t="str">
        <x:v>NONLIVINGAPARTMENTS_AVG__MISSING</x:v>
      </x:c>
      <x:c r="K277" s="25" t="n">
        <x:v>0</x:v>
      </x:c>
      <x:c r="L277" s="35" t="b">
        <x:v>0</x:v>
      </x:c>
    </x:row>
    <x:row r="278" ht="19" customHeight="1">
      <x:c r="A278" s="25" t="n">
        <x:v>1</x:v>
      </x:c>
      <x:c r="B278" s="28" t="n">
        <x:v>126951</x:v>
      </x:c>
      <x:c r="C278" s="25" t="n">
        <x:v>10848</x:v>
      </x:c>
      <x:c r="D278" s="25" t="n">
        <x:v>116103</x:v>
      </x:c>
      <x:c r="E278" s="25" t="n">
        <x:v>0.690278719128646</x:v>
      </x:c>
      <x:c r="F278" s="25" t="n">
        <x:v>0.7343961548876252</x:v>
      </x:c>
      <x:c r="G278" s="25" t="n">
        <x:v>-0.061953146777758886</x:v>
      </x:c>
      <x:c r="H278" s="25" t="n">
        <x:v>0.0027332139730343865</x:v>
      </x:c>
      <x:c r="I278" s="30" t="n">
        <x:v>0.08545029184488503</x:v>
      </x:c>
      <x:c r="J278" s="25" t="str">
        <x:v>NONLIVINGAPARTMENTS_AVG__MISSING</x:v>
      </x:c>
      <x:c r="K278" s="25" t="n">
        <x:v>1</x:v>
      </x:c>
      <x:c r="L278" s="35" t="b">
        <x:v>0</x:v>
      </x:c>
    </x:row>
    <x:row r="279" ht="19" customHeight="1">
      <x:c r="A279" s="25" t="str">
        <x:v>B0</x:v>
      </x:c>
      <x:c r="B279" s="28" t="n">
        <x:v>33646</x:v>
      </x:c>
      <x:c r="C279" s="25" t="n">
        <x:v>2355</x:v>
      </x:c>
      <x:c r="D279" s="25" t="n">
        <x:v>31291</x:v>
      </x:c>
      <x:c r="E279" s="25" t="n">
        <x:v>0.18603856146588268</x:v>
      </x:c>
      <x:c r="F279" s="25" t="n">
        <x:v>0.15944628714546807</x:v>
      </x:c>
      <x:c r="G279" s="25" t="n">
        <x:v>0.15424686413386218</x:v>
      </x:c>
      <x:c r="H279" s="25" t="n">
        <x:v>0.0041017749241113845</x:v>
      </x:c>
      <x:c r="I279" s="30" t="n">
        <x:v>0.06999346133269928</x:v>
      </x:c>
      <x:c r="J279" s="25" t="str">
        <x:v>NONLIVINGAPARTMENTS_AVG</x:v>
      </x:c>
      <x:c r="K279" s="25" t="str">
        <x:v>(-inf, 0.0019]</x:v>
      </x:c>
      <x:c r="L279" s="35" t="b">
        <x:v>0</x:v>
      </x:c>
    </x:row>
    <x:row r="280" ht="19" customHeight="1">
      <x:c r="A280" s="25" t="str">
        <x:v>B1</x:v>
      </x:c>
      <x:c r="B280" s="28" t="n">
        <x:v>12802</x:v>
      </x:c>
      <x:c r="C280" s="25" t="n">
        <x:v>934</x:v>
      </x:c>
      <x:c r="D280" s="25" t="n">
        <x:v>11868</x:v>
      </x:c>
      <x:c r="E280" s="25" t="n">
        <x:v>0.07056225066736425</x:v>
      </x:c>
      <x:c r="F280" s="25" t="n">
        <x:v>0.06325729371150071</x:v>
      </x:c>
      <x:c r="G280" s="25" t="n">
        <x:v>0.10928487184689624</x:v>
      </x:c>
      <x:c r="H280" s="25" t="n">
        <x:v>0.0007983212847686405</x:v>
      </x:c>
      <x:c r="I280" s="30" t="n">
        <x:v>0.07295735041399781</x:v>
      </x:c>
      <x:c r="J280" s="25" t="str">
        <x:v>NONLIVINGAPARTMENTS_AVG</x:v>
      </x:c>
      <x:c r="K280" s="25" t="str">
        <x:v>(0.0019, 0.0077]</x:v>
      </x:c>
      <x:c r="L280" s="35" t="b">
        <x:v>0</x:v>
      </x:c>
    </x:row>
    <x:row r="281" ht="19" customHeight="1">
      <x:c r="A281" s="25" t="str">
        <x:v>B2</x:v>
      </x:c>
      <x:c r="B281" s="28" t="n">
        <x:v>9569</x:v>
      </x:c>
      <x:c r="C281" s="25" t="n">
        <x:v>634</x:v>
      </x:c>
      <x:c r="D281" s="25" t="n">
        <x:v>8935</x:v>
      </x:c>
      <x:c r="E281" s="25" t="n">
        <x:v>0.05312457267879119</x:v>
      </x:c>
      <x:c r="F281" s="25" t="n">
        <x:v>0.042949976308129696</x:v>
      </x:c>
      <x:c r="G281" s="25" t="n">
        <x:v>0.21260348670391663</x:v>
      </x:c>
      <x:c r="H281" s="25" t="n">
        <x:v>0.00216315466420765</x:v>
      </x:c>
      <x:c r="I281" s="30" t="n">
        <x:v>0.06625561709687533</x:v>
      </x:c>
      <x:c r="J281" s="25" t="str">
        <x:v>NONLIVINGAPARTMENTS_AVG</x:v>
      </x:c>
      <x:c r="K281" s="25" t="str">
        <x:v>(0.0077, inf]</x:v>
      </x:c>
      <x:c r="L281" s="35" t="b">
        <x:v>0</x:v>
      </x:c>
    </x:row>
    <x:row r="282" ht="19" customHeight="1">
      <x:c r="A282" s="25" t="str">
        <x:v>Missing</x:v>
      </x:c>
      <x:c r="B282" s="28" t="n">
        <x:v>126951</x:v>
      </x:c>
      <x:c r="C282" s="25" t="n">
        <x:v>10848</x:v>
      </x:c>
      <x:c r="D282" s="25" t="n">
        <x:v>116103</x:v>
      </x:c>
      <x:c r="E282" s="25" t="n">
        <x:v>0.6902746151879618</x:v>
      </x:c>
      <x:c r="F282" s="25" t="n">
        <x:v>0.7343464428349015</x:v>
      </x:c>
      <x:c r="G282" s="25" t="n">
        <x:v>-0.06189139878483549</x:v>
      </x:c>
      <x:c r="H282" s="25" t="n">
        <x:v>0.002727667060073278</x:v>
      </x:c>
      <x:c r="I282" s="30" t="n">
        <x:v>0.08545029184488503</x:v>
      </x:c>
      <x:c r="J282" s="25" t="str">
        <x:v>NONLIVINGAPARTMENTS_AVG</x:v>
      </x:c>
      <x:c r="K282" s="25" t="str">
        <x:v>Missing</x:v>
      </x:c>
      <x:c r="L282" s="35" t="b">
        <x:v>0</x:v>
      </x:c>
    </x:row>
    <x:row r="283" ht="19" customHeight="1">
      <x:c r="A283" s="25" t="n">
        <x:v>0</x:v>
      </x:c>
      <x:c r="B283" s="28" t="n">
        <x:v>81994</x:v>
      </x:c>
      <x:c r="C283" s="25" t="n">
        <x:v>5712</x:v>
      </x:c>
      <x:c r="D283" s="25" t="n">
        <x:v>76282</x:v>
      </x:c>
      <x:c r="E283" s="25" t="n">
        <x:v>0.45352798487496876</x:v>
      </x:c>
      <x:c r="F283" s="25" t="n">
        <x:v>0.38671134578933114</x:v>
      </x:c>
      <x:c r="G283" s="25" t="n">
        <x:v>0.15937843809398464</x:v>
      </x:c>
      <x:c r="H283" s="25" t="n">
        <x:v>0.01064913157615841</x:v>
      </x:c>
      <x:c r="I283" s="30" t="n">
        <x:v>0.06966363392443349</x:v>
      </x:c>
      <x:c r="J283" s="25" t="str">
        <x:v>NONLIVINGAREA_AVG__MISSING</x:v>
      </x:c>
      <x:c r="K283" s="25" t="n">
        <x:v>0</x:v>
      </x:c>
      <x:c r="L283" s="35" t="b">
        <x:v>0</x:v>
      </x:c>
    </x:row>
    <x:row r="284" ht="19" customHeight="1">
      <x:c r="A284" s="25" t="n">
        <x:v>1</x:v>
      </x:c>
      <x:c r="B284" s="28" t="n">
        <x:v>100974</x:v>
      </x:c>
      <x:c r="C284" s="25" t="n">
        <x:v>9059</x:v>
      </x:c>
      <x:c r="D284" s="25" t="n">
        <x:v>91915</x:v>
      </x:c>
      <x:c r="E284" s="25" t="n">
        <x:v>0.5464720151250312</x:v>
      </x:c>
      <x:c r="F284" s="25" t="n">
        <x:v>0.6132886542106688</x:v>
      </x:c>
      <x:c r="G284" s="25" t="n">
        <x:v>-0.11535261403688325</x:v>
      </x:c>
      <x:c r="H284" s="25" t="n">
        <x:v>0.007707473979687284</x:v>
      </x:c>
      <x:c r="I284" s="30" t="n">
        <x:v>0.08971616455721275</x:v>
      </x:c>
      <x:c r="J284" s="25" t="str">
        <x:v>NONLIVINGAREA_AVG__MISSING</x:v>
      </x:c>
      <x:c r="K284" s="25" t="n">
        <x:v>1</x:v>
      </x:c>
      <x:c r="L284" s="35" t="b">
        <x:v>0</x:v>
      </x:c>
    </x:row>
    <x:row r="285" ht="19" customHeight="1">
      <x:c r="A285" s="25" t="str">
        <x:v>B0</x:v>
      </x:c>
      <x:c r="B285" s="28" t="n">
        <x:v>49215</x:v>
      </x:c>
      <x:c r="C285" s="25" t="n">
        <x:v>3540</x:v>
      </x:c>
      <x:c r="D285" s="25" t="n">
        <x:v>45675</x:v>
      </x:c>
      <x:c r="E285" s="25" t="n">
        <x:v>0.2715563112741455</x:v>
      </x:c>
      <x:c r="F285" s="25" t="n">
        <x:v>0.2396601908887836</x:v>
      </x:c>
      <x:c r="G285" s="25" t="n">
        <x:v>0.12494747712346754</x:v>
      </x:c>
      <x:c r="H285" s="25" t="n">
        <x:v>0.003985339772177371</x:v>
      </x:c>
      <x:c r="I285" s="30" t="n">
        <x:v>0.07192928985065529</x:v>
      </x:c>
      <x:c r="J285" s="25" t="str">
        <x:v>NONLIVINGAREA_AVG</x:v>
      </x:c>
      <x:c r="K285" s="25" t="str">
        <x:v>(-inf, 0.0088999998]</x:v>
      </x:c>
      <x:c r="L285" s="35" t="b">
        <x:v>0</x:v>
      </x:c>
    </x:row>
    <x:row r="286" ht="19" customHeight="1">
      <x:c r="A286" s="25" t="str">
        <x:v>B1</x:v>
      </x:c>
      <x:c r="B286" s="28" t="n">
        <x:v>16387</x:v>
      </x:c>
      <x:c r="C286" s="25" t="n">
        <x:v>1132</x:v>
      </x:c>
      <x:c r="D286" s="25" t="n">
        <x:v>15255</x:v>
      </x:c>
      <x:c r="E286" s="25" t="n">
        <x:v>0.09069911236095339</x:v>
      </x:c>
      <x:c r="F286" s="25" t="n">
        <x:v>0.07666012319772558</x:v>
      </x:c>
      <x:c r="G286" s="25" t="n">
        <x:v>0.16816590351693303</x:v>
      </x:c>
      <x:c r="H286" s="25" t="n">
        <x:v>0.002360879297098636</x:v>
      </x:c>
      <x:c r="I286" s="30" t="n">
        <x:v>0.06907914810520535</x:v>
      </x:c>
      <x:c r="J286" s="25" t="str">
        <x:v>NONLIVINGAREA_AVG</x:v>
      </x:c>
      <x:c r="K286" s="25" t="str">
        <x:v>(0.0088999998, 0.0396]</x:v>
      </x:c>
      <x:c r="L286" s="35" t="b">
        <x:v>0</x:v>
      </x:c>
    </x:row>
    <x:row r="287" ht="19" customHeight="1">
      <x:c r="A287" s="25" t="str">
        <x:v>B2</x:v>
      </x:c>
      <x:c r="B287" s="28" t="n">
        <x:v>16392</x:v>
      </x:c>
      <x:c r="C287" s="25" t="n">
        <x:v>1040</x:v>
      </x:c>
      <x:c r="D287" s="25" t="n">
        <x:v>15352</x:v>
      </x:c>
      <x:c r="E287" s="25" t="n">
        <x:v>0.0912758102010119</x:v>
      </x:c>
      <x:c r="F287" s="25" t="n">
        <x:v>0.07043254586069181</x:v>
      </x:c>
      <x:c r="G287" s="25" t="n">
        <x:v>0.2592303484913723</x:v>
      </x:c>
      <x:c r="H287" s="25" t="n">
        <x:v>0.00540320667863897</x:v>
      </x:c>
      <x:c r="I287" s="30" t="n">
        <x:v>0.0634455832113226</x:v>
      </x:c>
      <x:c r="J287" s="25" t="str">
        <x:v>NONLIVINGAREA_AVG</x:v>
      </x:c>
      <x:c r="K287" s="25" t="str">
        <x:v>(0.0396, inf]</x:v>
      </x:c>
      <x:c r="L287" s="35" t="b">
        <x:v>0</x:v>
      </x:c>
    </x:row>
    <x:row r="288" ht="19" customHeight="1">
      <x:c r="A288" s="25" t="str">
        <x:v>Missing</x:v>
      </x:c>
      <x:c r="B288" s="28" t="n">
        <x:v>100974</x:v>
      </x:c>
      <x:c r="C288" s="25" t="n">
        <x:v>9059</x:v>
      </x:c>
      <x:c r="D288" s="25" t="n">
        <x:v>91915</x:v>
      </x:c>
      <x:c r="E288" s="25" t="n">
        <x:v>0.5464687661638892</x:v>
      </x:c>
      <x:c r="F288" s="25" t="n">
        <x:v>0.613247140052799</x:v>
      </x:c>
      <x:c r="G288" s="25" t="n">
        <x:v>-0.11529086604395988</x:v>
      </x:c>
      <x:c r="H288" s="25" t="n">
        <x:v>0.007698936558659772</x:v>
      </x:c>
      <x:c r="I288" s="30" t="n">
        <x:v>0.08971616455721275</x:v>
      </x:c>
      <x:c r="J288" s="25" t="str">
        <x:v>NONLIVINGAREA_AVG</x:v>
      </x:c>
      <x:c r="K288" s="25" t="str">
        <x:v>Missing</x:v>
      </x:c>
      <x:c r="L288" s="35" t="b">
        <x:v>0</x:v>
      </x:c>
    </x:row>
    <x:row r="289" ht="19" customHeight="1">
      <x:c r="A289" s="25" t="str">
        <x:v>B0</x:v>
      </x:c>
      <x:c r="B289" s="28" t="n">
        <x:v>126957</x:v>
      </x:c>
      <x:c r="C289" s="25" t="n">
        <x:v>10020</x:v>
      </x:c>
      <x:c r="D289" s="25" t="n">
        <x:v>116937</x:v>
      </x:c>
      <x:c r="E289" s="25" t="n">
        <x:v>0.6952350942487596</x:v>
      </x:c>
      <x:c r="F289" s="25" t="n">
        <x:v>0.6783212049416145</x:v>
      </x:c>
      <x:c r="G289" s="25" t="n">
        <x:v>0.024629124116388058</x:v>
      </x:c>
      <x:c r="H289" s="25" t="n">
        <x:v>0.00041657427903652556</x:v>
      </x:c>
      <x:c r="I289" s="30" t="n">
        <x:v>0.07892436021645124</x:v>
      </x:c>
      <x:c r="J289" s="25" t="str">
        <x:v>OBS_30_CNT_SOCIAL_CIRCLE</x:v>
      </x:c>
      <x:c r="K289" s="25" t="str">
        <x:v>(-inf, 1]</x:v>
      </x:c>
      <x:c r="L289" s="35" t="b">
        <x:v>0</x:v>
      </x:c>
    </x:row>
    <x:row r="290" ht="19" customHeight="1">
      <x:c r="A290" s="25" t="str">
        <x:v>B1</x:v>
      </x:c>
      <x:c r="B290" s="28" t="n">
        <x:v>30032</x:v>
      </x:c>
      <x:c r="C290" s="25" t="n">
        <x:v>2458</x:v>
      </x:c>
      <x:c r="D290" s="25" t="n">
        <x:v>27574</x:v>
      </x:c>
      <x:c r="E290" s="25" t="n">
        <x:v>0.1639402253884547</x:v>
      </x:c>
      <x:c r="F290" s="25" t="n">
        <x:v>0.16642409883228973</x:v>
      </x:c>
      <x:c r="G290" s="25" t="n">
        <x:v>-0.015037460567532248</x:v>
      </x:c>
      <x:c r="H290" s="25" t="n">
        <x:v>0.000037351148966409665</x:v>
      </x:c>
      <x:c r="I290" s="30" t="n">
        <x:v>0.08184603090037293</x:v>
      </x:c>
      <x:c r="J290" s="25" t="str">
        <x:v>OBS_30_CNT_SOCIAL_CIRCLE</x:v>
      </x:c>
      <x:c r="K290" s="25" t="str">
        <x:v>(1, 3]</x:v>
      </x:c>
      <x:c r="L290" s="35" t="b">
        <x:v>0</x:v>
      </x:c>
    </x:row>
    <x:row r="291" ht="19" customHeight="1">
      <x:c r="A291" s="25" t="str">
        <x:v>B2</x:v>
      </x:c>
      <x:c r="B291" s="28" t="n">
        <x:v>25979</x:v>
      </x:c>
      <x:c r="C291" s="25" t="n">
        <x:v>2293</x:v>
      </x:c>
      <x:c r="D291" s="25" t="n">
        <x:v>23686</x:v>
      </x:c>
      <x:c r="E291" s="25" t="n">
        <x:v>0.14082468036278564</x:v>
      </x:c>
      <x:c r="F291" s="25" t="n">
        <x:v>0.15525469622609578</x:v>
      </x:c>
      <x:c r="G291" s="25" t="n">
        <x:v>-0.09755125476899326</x:v>
      </x:c>
      <x:c r="H291" s="25" t="n">
        <x:v>0.0014076661538023813</x:v>
      </x:c>
      <x:c r="I291" s="30" t="n">
        <x:v>0.08826359752107471</x:v>
      </x:c>
      <x:c r="J291" s="25" t="str">
        <x:v>OBS_30_CNT_SOCIAL_CIRCLE</x:v>
      </x:c>
      <x:c r="K291" s="25" t="str">
        <x:v>(3, inf]</x:v>
      </x:c>
      <x:c r="L291" s="35" t="b">
        <x:v>0</x:v>
      </x:c>
    </x:row>
    <x:row r="292" ht="19" customHeight="1">
      <x:c r="A292" s="25" t="str">
        <x:v>Modal</x:v>
      </x:c>
      <x:c r="B292" s="28" t="n">
        <x:v>162065</x:v>
      </x:c>
      <x:c r="C292" s="25" t="n">
        <x:v>12580</x:v>
      </x:c>
      <x:c r="D292" s="25" t="n">
        <x:v>149485</x:v>
      </x:c>
      <x:c r="E292" s="25" t="n">
        <x:v>0.8887471908108301</x:v>
      </x:c>
      <x:c r="F292" s="25" t="n">
        <x:v>0.8516450040617384</x:v>
      </x:c>
      <x:c r="G292" s="25" t="n">
        <x:v>0.04264304217850007</x:v>
      </x:c>
      <x:c r="H292" s="25" t="n">
        <x:v>0.0015821501144561044</x:v>
      </x:c>
      <x:c r="I292" s="30" t="n">
        <x:v>0.07762317588621849</x:v>
      </x:c>
      <x:c r="J292" s="25" t="str">
        <x:v>DEF_30_CNT_SOCIAL_CIRCLE</x:v>
      </x:c>
      <x:c r="K292" s="25" t="str">
        <x:v>value = 0.0</x:v>
      </x:c>
      <x:c r="L292" s="35" t="b">
        <x:v>0</x:v>
      </x:c>
    </x:row>
    <x:row r="293" ht="19" customHeight="1">
      <x:c r="A293" s="25" t="str">
        <x:v>Other</x:v>
      </x:c>
      <x:c r="B293" s="28" t="n">
        <x:v>20903</x:v>
      </x:c>
      <x:c r="C293" s="25" t="n">
        <x:v>2191</x:v>
      </x:c>
      <x:c r="D293" s="25" t="n">
        <x:v>18712</x:v>
      </x:c>
      <x:c r="E293" s="25" t="n">
        <x:v>0.11125280918916991</x:v>
      </x:c>
      <x:c r="F293" s="25" t="n">
        <x:v>0.14835499593826157</x:v>
      </x:c>
      <x:c r="G293" s="25" t="n">
        <x:v>-0.2878028510023961</x:v>
      </x:c>
      <x:c r="H293" s="25" t="n">
        <x:v>0.010678115124811902</x:v>
      </x:c>
      <x:c r="I293" s="30" t="n">
        <x:v>0.10481749031239534</x:v>
      </x:c>
      <x:c r="J293" s="25" t="str">
        <x:v>DEF_30_CNT_SOCIAL_CIRCLE</x:v>
      </x:c>
      <x:c r="K293" s="25" t="str">
        <x:v>value != 0.0</x:v>
      </x:c>
      <x:c r="L293" s="35" t="b">
        <x:v>0</x:v>
      </x:c>
    </x:row>
    <x:row r="294" ht="19" customHeight="1">
      <x:c r="A294" s="25" t="str">
        <x:v>B0</x:v>
      </x:c>
      <x:c r="B294" s="28" t="n">
        <x:v>127479</x:v>
      </x:c>
      <x:c r="C294" s="25" t="n">
        <x:v>10068</x:v>
      </x:c>
      <x:c r="D294" s="25" t="n">
        <x:v>117411</x:v>
      </x:c>
      <x:c r="E294" s="25" t="n">
        <x:v>0.6980531931021977</x:v>
      </x:c>
      <x:c r="F294" s="25" t="n">
        <x:v>0.68157048569978</x:v>
      </x:c>
      <x:c r="G294" s="25" t="n">
        <x:v>0.023895634660736697</x:v>
      </x:c>
      <x:c r="H294" s="25" t="n">
        <x:v>0.0003938647543079949</x:v>
      </x:c>
      <x:c r="I294" s="30" t="n">
        <x:v>0.07897771397641964</x:v>
      </x:c>
      <x:c r="J294" s="25" t="str">
        <x:v>OBS_60_CNT_SOCIAL_CIRCLE</x:v>
      </x:c>
      <x:c r="K294" s="25" t="str">
        <x:v>(-inf, 1]</x:v>
      </x:c>
      <x:c r="L294" s="35" t="b">
        <x:v>0</x:v>
      </x:c>
    </x:row>
    <x:row r="295" ht="19" customHeight="1">
      <x:c r="A295" s="25" t="str">
        <x:v>B1</x:v>
      </x:c>
      <x:c r="B295" s="28" t="n">
        <x:v>29927</x:v>
      </x:c>
      <x:c r="C295" s="25" t="n">
        <x:v>2447</x:v>
      </x:c>
      <x:c r="D295" s="25" t="n">
        <x:v>27480</x:v>
      </x:c>
      <x:c r="E295" s="25" t="n">
        <x:v>0.16338136190275182</x:v>
      </x:c>
      <x:c r="F295" s="25" t="n">
        <x:v>0.1656794719918768</x:v>
      </x:c>
      <x:c r="G295" s="25" t="n">
        <x:v>-0.013967918489535658</x:v>
      </x:c>
      <x:c r="H295" s="25" t="n">
        <x:v>0.00003209981440487721</x:v>
      </x:c>
      <x:c r="I295" s="30" t="n">
        <x:v>0.08176562969893407</x:v>
      </x:c>
      <x:c r="J295" s="25" t="str">
        <x:v>OBS_60_CNT_SOCIAL_CIRCLE</x:v>
      </x:c>
      <x:c r="K295" s="25" t="str">
        <x:v>(1, 3]</x:v>
      </x:c>
      <x:c r="L295" s="35" t="b">
        <x:v>0</x:v>
      </x:c>
    </x:row>
    <x:row r="296" ht="19" customHeight="1">
      <x:c r="A296" s="25" t="str">
        <x:v>B2</x:v>
      </x:c>
      <x:c r="B296" s="28" t="n">
        <x:v>25562</x:v>
      </x:c>
      <x:c r="C296" s="25" t="n">
        <x:v>2256</x:v>
      </x:c>
      <x:c r="D296" s="25" t="n">
        <x:v>23306</x:v>
      </x:c>
      <x:c r="E296" s="25" t="n">
        <x:v>0.1385654449950505</x:v>
      </x:c>
      <x:c r="F296" s="25" t="n">
        <x:v>0.15275004230834321</x:v>
      </x:c>
      <x:c r="G296" s="25" t="n">
        <x:v>-0.0974601339676397</x:v>
      </x:c>
      <x:c r="H296" s="25" t="n">
        <x:v>0.0013824327544305305</x:v>
      </x:c>
      <x:c r="I296" s="30" t="n">
        <x:v>0.08825600500743291</x:v>
      </x:c>
      <x:c r="J296" s="25" t="str">
        <x:v>OBS_60_CNT_SOCIAL_CIRCLE</x:v>
      </x:c>
      <x:c r="K296" s="25" t="str">
        <x:v>(3, inf]</x:v>
      </x:c>
      <x:c r="L296" s="35" t="b">
        <x:v>0</x:v>
      </x:c>
    </x:row>
    <x:row r="297" ht="19" customHeight="1">
      <x:c r="A297" s="25" t="str">
        <x:v>Modal</x:v>
      </x:c>
      <x:c r="B297" s="28" t="n">
        <x:v>167733</x:v>
      </x:c>
      <x:c r="C297" s="25" t="n">
        <x:v>13122</x:v>
      </x:c>
      <x:c r="D297" s="25" t="n">
        <x:v>154611</x:v>
      </x:c>
      <x:c r="E297" s="25" t="n">
        <x:v>0.9192231774456295</x:v>
      </x:c>
      <x:c r="F297" s="25" t="n">
        <x:v>0.8883360411589494</x:v>
      </x:c>
      <x:c r="G297" s="25" t="n">
        <x:v>0.034178844882118746</x:v>
      </x:c>
      <x:c r="H297" s="25" t="n">
        <x:v>0.0010556866399953025</x:v>
      </x:c>
      <x:c r="I297" s="30" t="n">
        <x:v>0.0782314750228041</x:v>
      </x:c>
      <x:c r="J297" s="25" t="str">
        <x:v>DEF_60_CNT_SOCIAL_CIRCLE</x:v>
      </x:c>
      <x:c r="K297" s="25" t="str">
        <x:v>value = 0.0</x:v>
      </x:c>
      <x:c r="L297" s="35" t="b">
        <x:v>0</x:v>
      </x:c>
    </x:row>
    <x:row r="298" ht="19" customHeight="1">
      <x:c r="A298" s="25" t="str">
        <x:v>Other</x:v>
      </x:c>
      <x:c r="B298" s="28" t="n">
        <x:v>15235</x:v>
      </x:c>
      <x:c r="C298" s="25" t="n">
        <x:v>1649</x:v>
      </x:c>
      <x:c r="D298" s="25" t="n">
        <x:v>13586</x:v>
      </x:c>
      <x:c r="E298" s="25" t="n">
        <x:v>0.08077682255437045</x:v>
      </x:c>
      <x:c r="F298" s="25" t="n">
        <x:v>0.11166395884105064</x:v>
      </x:c>
      <x:c r="G298" s="25" t="n">
        <x:v>-0.32380391887510135</x:v>
      </x:c>
      <x:c r="H298" s="25" t="n">
        <x:v>0.01000137577245639</x:v>
      </x:c>
      <x:c r="I298" s="30" t="n">
        <x:v>0.10823761076468658</x:v>
      </x:c>
      <x:c r="J298" s="25" t="str">
        <x:v>DEF_60_CNT_SOCIAL_CIRCLE</x:v>
      </x:c>
      <x:c r="K298" s="25" t="str">
        <x:v>value != 0.0</x:v>
      </x:c>
      <x:c r="L298" s="35" t="b">
        <x:v>0</x:v>
      </x:c>
    </x:row>
    <x:row r="299" ht="19" customHeight="1">
      <x:c r="A299" s="25" t="n">
        <x:v>0</x:v>
      </x:c>
      <x:c r="B299" s="28" t="n">
        <x:v>182960</x:v>
      </x:c>
      <x:c r="C299" s="25" t="n">
        <x:v>14769</x:v>
      </x:c>
      <x:c r="D299" s="25" t="n">
        <x:v>168191</x:v>
      </x:c>
      <x:c r="E299" s="25" t="n">
        <x:v>0.9999613550696204</x:v>
      </x:c>
      <x:c r="F299" s="25" t="n">
        <x:v>0.9998307608989981</x:v>
      </x:c>
      <x:c r="G299" s="25" t="n">
        <x:v>0.00013060774644025022</x:v>
      </x:c>
      <x:c r="H299" s="25" t="n">
        <x:v>1.7056610323202004e-8</x:v>
      </x:c>
      <x:c r="I299" s="30" t="n">
        <x:v>0.08072256230870135</x:v>
      </x:c>
      <x:c r="J299" s="25" t="str">
        <x:v>FLAG_DOCUMENT_2</x:v>
      </x:c>
      <x:c r="K299" s="25" t="n">
        <x:v>0</x:v>
      </x:c>
      <x:c r="L299" s="35" t="b">
        <x:v>0</x:v>
      </x:c>
    </x:row>
    <x:row r="300" ht="19" customHeight="1">
      <x:c r="A300" s="25" t="n">
        <x:v>1</x:v>
      </x:c>
      <x:c r="B300" s="28" t="n">
        <x:v>8</x:v>
      </x:c>
      <x:c r="C300" s="25" t="n">
        <x:v>2</x:v>
      </x:c>
      <x:c r="D300" s="25" t="n">
        <x:v>6</x:v>
      </x:c>
      <x:c r="E300" s="25" t="n">
        <x:v>0.00003864493037967158</x:v>
      </x:c>
      <x:c r="F300" s="25" t="n">
        <x:v>0.00016923910100189547</x:v>
      </x:c>
      <x:c r="G300" s="25" t="n">
        <x:v>-1.4768969148439797</x:v>
      </x:c>
      <x:c r="H300" s="25" t="n">
        <x:v>0.00019287412768857073</x:v>
      </x:c>
      <x:c r="I300" s="30" t="n">
        <x:v>0.25</x:v>
      </x:c>
      <x:c r="J300" s="25" t="str">
        <x:v>FLAG_DOCUMENT_2</x:v>
      </x:c>
      <x:c r="K300" s="25" t="n">
        <x:v>1</x:v>
      </x:c>
      <x:c r="L300" s="35" t="b">
        <x:v>1</x:v>
      </x:c>
    </x:row>
    <x:row r="301" ht="19" customHeight="1">
      <x:c r="A301" s="25" t="n">
        <x:v>0</x:v>
      </x:c>
      <x:c r="B301" s="28" t="n">
        <x:v>53076</x:v>
      </x:c>
      <x:c r="C301" s="25" t="n">
        <x:v>3274</x:v>
      </x:c>
      <x:c r="D301" s="25" t="n">
        <x:v>49802</x:v>
      </x:c>
      <x:c r="E301" s="25" t="n">
        <x:v>0.29609448388209136</x:v>
      </x:c>
      <x:c r="F301" s="25" t="n">
        <x:v>0.2216693744922827</x:v>
      </x:c>
      <x:c r="G301" s="25" t="n">
        <x:v>0.28949163802641464</x:v>
      </x:c>
      <x:c r="H301" s="25" t="n">
        <x:v>0.021545446827550805</x:v>
      </x:c>
      <x:c r="I301" s="30" t="n">
        <x:v>0.061685130755897204</x:v>
      </x:c>
      <x:c r="J301" s="25" t="str">
        <x:v>FLAG_DOCUMENT_3</x:v>
      </x:c>
      <x:c r="K301" s="25" t="n">
        <x:v>0</x:v>
      </x:c>
      <x:c r="L301" s="35" t="b">
        <x:v>0</x:v>
      </x:c>
    </x:row>
    <x:row r="302" ht="19" customHeight="1">
      <x:c r="A302" s="25" t="n">
        <x:v>1</x:v>
      </x:c>
      <x:c r="B302" s="28" t="n">
        <x:v>129892</x:v>
      </x:c>
      <x:c r="C302" s="25" t="n">
        <x:v>11497</x:v>
      </x:c>
      <x:c r="D302" s="25" t="n">
        <x:v>118395</x:v>
      </x:c>
      <x:c r="E302" s="25" t="n">
        <x:v>0.7039055161179086</x:v>
      </x:c>
      <x:c r="F302" s="25" t="n">
        <x:v>0.7783306255077173</x:v>
      </x:c>
      <x:c r="G302" s="25" t="n">
        <x:v>-0.10050726533248443</x:v>
      </x:c>
      <x:c r="H302" s="25" t="n">
        <x:v>0.007480264216840673</x:v>
      </x:c>
      <x:c r="I302" s="30" t="n">
        <x:v>0.0885119945801127</x:v>
      </x:c>
      <x:c r="J302" s="25" t="str">
        <x:v>FLAG_DOCUMENT_3</x:v>
      </x:c>
      <x:c r="K302" s="25" t="n">
        <x:v>1</x:v>
      </x:c>
      <x:c r="L302" s="35" t="b">
        <x:v>0</x:v>
      </x:c>
    </x:row>
    <x:row r="303" ht="19" customHeight="1">
      <x:c r="A303" s="25" t="n">
        <x:v>0</x:v>
      </x:c>
      <x:c r="B303" s="28" t="n">
        <x:v>182950</x:v>
      </x:c>
      <x:c r="C303" s="25" t="n">
        <x:v>14771</x:v>
      </x:c>
      <x:c r="D303" s="25" t="n">
        <x:v>168179</x:v>
      </x:c>
      <x:c r="E303" s="25" t="n">
        <x:v>0.9998900105827655</x:v>
      </x:c>
      <x:c r="F303" s="25" t="n">
        <x:v>0.9999661521797997</x:v>
      </x:c>
      <x:c r="G303" s="25" t="n">
        <x:v>-0.0000761470734633475</x:v>
      </x:c>
      <x:c r="H303" s="25" t="n">
        <x:v>5.797959782977841e-9</x:v>
      </x:c>
      <x:c r="I303" s="30" t="n">
        <x:v>0.0807379065318393</x:v>
      </x:c>
      <x:c r="J303" s="25" t="str">
        <x:v>FLAG_DOCUMENT_4</x:v>
      </x:c>
      <x:c r="K303" s="25" t="n">
        <x:v>0</x:v>
      </x:c>
      <x:c r="L303" s="35" t="b">
        <x:v>0</x:v>
      </x:c>
    </x:row>
    <x:row r="304" ht="19" customHeight="1">
      <x:c r="A304" s="25" t="n">
        <x:v>1</x:v>
      </x:c>
      <x:c r="B304" s="28" t="n">
        <x:v>18</x:v>
      </x:c>
      <x:c r="C304" s="25" t="n">
        <x:v>0</x:v>
      </x:c>
      <x:c r="D304" s="25" t="n">
        <x:v>18</x:v>
      </x:c>
      <x:c r="E304" s="25" t="n">
        <x:v>0.00010998941723444988</x:v>
      </x:c>
      <x:c r="F304" s="25" t="n">
        <x:v>0.000033847820200379094</x:v>
      </x:c>
      <x:c r="G304" s="25" t="n">
        <x:v>1.1785095527728084</x:v>
      </x:c>
      <x:c r="H304" s="25" t="n">
        <x:v>0.00008973359946803015</x:v>
      </x:c>
      <x:c r="I304" s="30" t="n">
        <x:v>0</x:v>
      </x:c>
      <x:c r="J304" s="25" t="str">
        <x:v>FLAG_DOCUMENT_4</x:v>
      </x:c>
      <x:c r="K304" s="25" t="n">
        <x:v>1</x:v>
      </x:c>
      <x:c r="L304" s="35" t="b">
        <x:v>1</x:v>
      </x:c>
    </x:row>
    <x:row r="305" ht="19" customHeight="1">
      <x:c r="A305" s="25" t="n">
        <x:v>0</x:v>
      </x:c>
      <x:c r="B305" s="28" t="n">
        <x:v>180224</x:v>
      </x:c>
      <x:c r="C305" s="25" t="n">
        <x:v>14554</x:v>
      </x:c>
      <x:c r="D305" s="25" t="n">
        <x:v>165670</x:v>
      </x:c>
      <x:c r="E305" s="25" t="n">
        <x:v>0.9849730674562123</x:v>
      </x:c>
      <x:c r="F305" s="25" t="n">
        <x:v>0.9852761982128351</x:v>
      </x:c>
      <x:c r="G305" s="25" t="n">
        <x:v>-0.00030770802892460253</x:v>
      </x:c>
      <x:c r="H305" s="25" t="n">
        <x:v>9.327576762682665e-8</x:v>
      </x:c>
      <x:c r="I305" s="30" t="n">
        <x:v>0.08075506036931818</x:v>
      </x:c>
      <x:c r="J305" s="25" t="str">
        <x:v>FLAG_DOCUMENT_5</x:v>
      </x:c>
      <x:c r="K305" s="25" t="n">
        <x:v>0</x:v>
      </x:c>
      <x:c r="L305" s="35" t="b">
        <x:v>0</x:v>
      </x:c>
    </x:row>
    <x:row r="306" ht="19" customHeight="1">
      <x:c r="A306" s="25" t="n">
        <x:v>1</x:v>
      </x:c>
      <x:c r="B306" s="28" t="n">
        <x:v>2744</x:v>
      </x:c>
      <x:c r="C306" s="25" t="n">
        <x:v>217</x:v>
      </x:c>
      <x:c r="D306" s="25" t="n">
        <x:v>2527</x:v>
      </x:c>
      <x:c r="E306" s="25" t="n">
        <x:v>0.01502693254378768</x:v>
      </x:c>
      <x:c r="F306" s="25" t="n">
        <x:v>0.014723801787164906</x:v>
      </x:c>
      <x:c r="G306" s="25" t="n">
        <x:v>0.020378740494471543</x:v>
      </x:c>
      <x:c r="H306" s="25" t="n">
        <x:v>0.000006177423025108313</x:v>
      </x:c>
      <x:c r="I306" s="30" t="n">
        <x:v>0.07908163265306123</x:v>
      </x:c>
      <x:c r="J306" s="25" t="str">
        <x:v>FLAG_DOCUMENT_5</x:v>
      </x:c>
      <x:c r="K306" s="25" t="n">
        <x:v>1</x:v>
      </x:c>
      <x:c r="L306" s="35" t="b">
        <x:v>0</x:v>
      </x:c>
    </x:row>
    <x:row r="307" ht="19" customHeight="1">
      <x:c r="A307" s="25" t="n">
        <x:v>0</x:v>
      </x:c>
      <x:c r="B307" s="28" t="n">
        <x:v>166866</x:v>
      </x:c>
      <x:c r="C307" s="25" t="n">
        <x:v>13858</x:v>
      </x:c>
      <x:c r="D307" s="25" t="n">
        <x:v>153008</x:v>
      </x:c>
      <x:c r="E307" s="25" t="n">
        <x:v>0.9096927430766121</x:v>
      </x:c>
      <x:c r="F307" s="25" t="n">
        <x:v>0.9381600324939074</x:v>
      </x:c>
      <x:c r="G307" s="25" t="n">
        <x:v>-0.03081364726335043</x:v>
      </x:c>
      <x:c r="H307" s="25" t="n">
        <x:v>0.0008771810146482482</x:v>
      </x:c>
      <x:c r="I307" s="30" t="n">
        <x:v>0.08304867378615176</x:v>
      </x:c>
      <x:c r="J307" s="25" t="str">
        <x:v>FLAG_DOCUMENT_6</x:v>
      </x:c>
      <x:c r="K307" s="25" t="n">
        <x:v>0</x:v>
      </x:c>
      <x:c r="L307" s="35" t="b">
        <x:v>0</x:v>
      </x:c>
    </x:row>
    <x:row r="308" ht="19" customHeight="1">
      <x:c r="A308" s="25" t="n">
        <x:v>1</x:v>
      </x:c>
      <x:c r="B308" s="28" t="n">
        <x:v>16102</x:v>
      </x:c>
      <x:c r="C308" s="25" t="n">
        <x:v>913</x:v>
      </x:c>
      <x:c r="D308" s="25" t="n">
        <x:v>15189</x:v>
      </x:c>
      <x:c r="E308" s="25" t="n">
        <x:v>0.09030725692338791</x:v>
      </x:c>
      <x:c r="F308" s="25" t="n">
        <x:v>0.06183996750609261</x:v>
      </x:c>
      <x:c r="G308" s="25" t="n">
        <x:v>0.37866794296622114</x:v>
      </x:c>
      <x:c r="H308" s="25" t="n">
        <x:v>0.010779649925471289</x:v>
      </x:c>
      <x:c r="I308" s="30" t="n">
        <x:v>0.05670103092783505</x:v>
      </x:c>
      <x:c r="J308" s="25" t="str">
        <x:v>FLAG_DOCUMENT_6</x:v>
      </x:c>
      <x:c r="K308" s="25" t="n">
        <x:v>1</x:v>
      </x:c>
      <x:c r="L308" s="35" t="b">
        <x:v>0</x:v>
      </x:c>
    </x:row>
    <x:row r="309" ht="19" customHeight="1">
      <x:c r="A309" s="25" t="n">
        <x:v>0</x:v>
      </x:c>
      <x:c r="B309" s="28" t="n">
        <x:v>182938</x:v>
      </x:c>
      <x:c r="C309" s="25" t="n">
        <x:v>14769</x:v>
      </x:c>
      <x:c r="D309" s="25" t="n">
        <x:v>168169</x:v>
      </x:c>
      <x:c r="E309" s="25" t="n">
        <x:v>0.9998305568437199</x:v>
      </x:c>
      <x:c r="F309" s="25" t="n">
        <x:v>0.9998307608989981</x:v>
      </x:c>
      <x:c r="G309" s="25" t="n">
        <x:v>-2.0408983898289067e-7</x:v>
      </x:c>
      <x:c r="H309" s="25" t="n">
        <x:v>4.164560887758729e-14</x:v>
      </x:c>
      <x:c r="I309" s="30" t="n">
        <x:v>0.08073226994938176</x:v>
      </x:c>
      <x:c r="J309" s="25" t="str">
        <x:v>FLAG_DOCUMENT_7</x:v>
      </x:c>
      <x:c r="K309" s="25" t="n">
        <x:v>0</x:v>
      </x:c>
      <x:c r="L309" s="35" t="b">
        <x:v>0</x:v>
      </x:c>
    </x:row>
    <x:row r="310" ht="19" customHeight="1">
      <x:c r="A310" s="25" t="n">
        <x:v>1</x:v>
      </x:c>
      <x:c r="B310" s="28" t="n">
        <x:v>30</x:v>
      </x:c>
      <x:c r="C310" s="25" t="n">
        <x:v>2</x:v>
      </x:c>
      <x:c r="D310" s="25" t="n">
        <x:v>28</x:v>
      </x:c>
      <x:c r="E310" s="25" t="n">
        <x:v>0.00016944315628009845</x:v>
      </x:c>
      <x:c r="F310" s="25" t="n">
        <x:v>0.00016923910100189547</x:v>
      </x:c>
      <x:c r="G310" s="25" t="n">
        <x:v>0.001204995529033701</x:v>
      </x:c>
      <x:c r="H310" s="25" t="n">
        <x:v>2.4588569791032054e-10</x:v>
      </x:c>
      <x:c r="I310" s="30" t="n">
        <x:v>0.06666666666666667</x:v>
      </x:c>
      <x:c r="J310" s="25" t="str">
        <x:v>FLAG_DOCUMENT_7</x:v>
      </x:c>
      <x:c r="K310" s="25" t="n">
        <x:v>1</x:v>
      </x:c>
      <x:c r="L310" s="35" t="b">
        <x:v>1</x:v>
      </x:c>
    </x:row>
    <x:row r="311" ht="19" customHeight="1">
      <x:c r="A311" s="25" t="n">
        <x:v>0</x:v>
      </x:c>
      <x:c r="B311" s="28" t="n">
        <x:v>168145</x:v>
      </x:c>
      <x:c r="C311" s="25" t="n">
        <x:v>13706</x:v>
      </x:c>
      <x:c r="D311" s="25" t="n">
        <x:v>154439</x:v>
      </x:c>
      <x:c r="E311" s="25" t="n">
        <x:v>0.9182005731340444</x:v>
      </x:c>
      <x:c r="F311" s="25" t="n">
        <x:v>0.9278702951529921</x:v>
      </x:c>
      <x:c r="G311" s="25" t="n">
        <x:v>-0.01047609885565711</x:v>
      </x:c>
      <x:c r="H311" s="25" t="n">
        <x:v>0.00010130096377722119</x:v>
      </x:c>
      <x:c r="I311" s="30" t="n">
        <x:v>0.08151297986856582</x:v>
      </x:c>
      <x:c r="J311" s="25" t="str">
        <x:v>FLAG_DOCUMENT_8</x:v>
      </x:c>
      <x:c r="K311" s="25" t="n">
        <x:v>0</x:v>
      </x:c>
      <x:c r="L311" s="35" t="b">
        <x:v>0</x:v>
      </x:c>
    </x:row>
    <x:row r="312" ht="19" customHeight="1">
      <x:c r="A312" s="25" t="n">
        <x:v>1</x:v>
      </x:c>
      <x:c r="B312" s="28" t="n">
        <x:v>14823</x:v>
      </x:c>
      <x:c r="C312" s="25" t="n">
        <x:v>1065</x:v>
      </x:c>
      <x:c r="D312" s="25" t="n">
        <x:v>13758</x:v>
      </x:c>
      <x:c r="E312" s="25" t="n">
        <x:v>0.0817994268659556</x:v>
      </x:c>
      <x:c r="F312" s="25" t="n">
        <x:v>0.07212970484700786</x:v>
      </x:c>
      <x:c r="G312" s="25" t="n">
        <x:v>0.1258042825071403</x:v>
      </x:c>
      <x:c r="H312" s="25" t="n">
        <x:v>0.0012164924406372162</x:v>
      </x:c>
      <x:c r="I312" s="30" t="n">
        <x:v>0.07184780408824125</x:v>
      </x:c>
      <x:c r="J312" s="25" t="str">
        <x:v>FLAG_DOCUMENT_8</x:v>
      </x:c>
      <x:c r="K312" s="25" t="n">
        <x:v>1</x:v>
      </x:c>
      <x:c r="L312" s="35" t="b">
        <x:v>0</x:v>
      </x:c>
    </x:row>
    <x:row r="313" ht="19" customHeight="1">
      <x:c r="A313" s="25" t="n">
        <x:v>0</x:v>
      </x:c>
      <x:c r="B313" s="28" t="n">
        <x:v>182268</x:v>
      </x:c>
      <x:c r="C313" s="25" t="n">
        <x:v>14731</x:v>
      </x:c>
      <x:c r="D313" s="25" t="n">
        <x:v>167537</x:v>
      </x:c>
      <x:c r="E313" s="25" t="n">
        <x:v>0.9960730805360349</x:v>
      </x:c>
      <x:c r="F313" s="25" t="n">
        <x:v>0.9972583265637693</x:v>
      </x:c>
      <x:c r="G313" s="25" t="n">
        <x:v>-0.0011892113506027022</x:v>
      </x:c>
      <x:c r="H313" s="25" t="n">
        <x:v>0.0000014095080294385124</x:v>
      </x:c>
      <x:c r="I313" s="30" t="n">
        <x:v>0.08082054995940044</x:v>
      </x:c>
      <x:c r="J313" s="25" t="str">
        <x:v>FLAG_DOCUMENT_9</x:v>
      </x:c>
      <x:c r="K313" s="25" t="n">
        <x:v>0</x:v>
      </x:c>
      <x:c r="L313" s="35" t="b">
        <x:v>0</x:v>
      </x:c>
    </x:row>
    <x:row r="314" ht="19" customHeight="1">
      <x:c r="A314" s="25" t="n">
        <x:v>1</x:v>
      </x:c>
      <x:c r="B314" s="28" t="n">
        <x:v>700</x:v>
      </x:c>
      <x:c r="C314" s="25" t="n">
        <x:v>40</x:v>
      </x:c>
      <x:c r="D314" s="25" t="n">
        <x:v>660</x:v>
      </x:c>
      <x:c r="E314" s="25" t="n">
        <x:v>0.003926919463965089</x:v>
      </x:c>
      <x:c r="F314" s="25" t="n">
        <x:v>0.0027416734362307065</x:v>
      </x:c>
      <x:c r="G314" s="25" t="n">
        <x:v>0.3592867899784705</x:v>
      </x:c>
      <x:c r="H314" s="25" t="n">
        <x:v>0.0004258432406394194</x:v>
      </x:c>
      <x:c r="I314" s="30" t="n">
        <x:v>0.05714285714285714</x:v>
      </x:c>
      <x:c r="J314" s="25" t="str">
        <x:v>FLAG_DOCUMENT_9</x:v>
      </x:c>
      <x:c r="K314" s="25" t="n">
        <x:v>1</x:v>
      </x:c>
      <x:c r="L314" s="35" t="b">
        <x:v>0</x:v>
      </x:c>
    </x:row>
    <x:row r="315" ht="19" customHeight="1">
      <x:c r="A315" s="25" t="n">
        <x:v>0</x:v>
      </x:c>
      <x:c r="B315" s="28" t="n">
        <x:v>182965</x:v>
      </x:c>
      <x:c r="C315" s="25" t="n">
        <x:v>14771</x:v>
      </x:c>
      <x:c r="D315" s="25" t="n">
        <x:v>168194</x:v>
      </x:c>
      <x:c r="E315" s="25" t="n">
        <x:v>0.999979191191334</x:v>
      </x:c>
      <x:c r="F315" s="25" t="n">
        <x:v>0.9999661521797997</x:v>
      </x:c>
      <x:c r="G315" s="25" t="n">
        <x:v>0.0000130393678785122</x:v>
      </x:c>
      <x:c r="H315" s="25" t="n">
        <x:v>1.7002046816890595e-10</x:v>
      </x:c>
      <x:c r="I315" s="30" t="n">
        <x:v>0.08073128740469489</x:v>
      </x:c>
      <x:c r="J315" s="25" t="str">
        <x:v>FLAG_DOCUMENT_10</x:v>
      </x:c>
      <x:c r="K315" s="25" t="n">
        <x:v>0</x:v>
      </x:c>
      <x:c r="L315" s="35" t="b">
        <x:v>0</x:v>
      </x:c>
    </x:row>
    <x:row r="316" ht="19" customHeight="1">
      <x:c r="A316" s="25" t="n">
        <x:v>1</x:v>
      </x:c>
      <x:c r="B316" s="28" t="n">
        <x:v>3</x:v>
      </x:c>
      <x:c r="C316" s="25" t="n">
        <x:v>0</x:v>
      </x:c>
      <x:c r="D316" s="25" t="n">
        <x:v>3</x:v>
      </x:c>
      <x:c r="E316" s="25" t="n">
        <x:v>0.000020808808665977004</x:v>
      </x:c>
      <x:c r="F316" s="25" t="n">
        <x:v>0.000033847820200379094</x:v>
      </x:c>
      <x:c r="G316" s="25" t="n">
        <x:v>-0.4864982108161027</x:v>
      </x:c>
      <x:c r="H316" s="25" t="n">
        <x:v>0.000006343455782297144</x:v>
      </x:c>
      <x:c r="I316" s="30" t="n">
        <x:v>0</x:v>
      </x:c>
      <x:c r="J316" s="25" t="str">
        <x:v>FLAG_DOCUMENT_10</x:v>
      </x:c>
      <x:c r="K316" s="25" t="n">
        <x:v>1</x:v>
      </x:c>
      <x:c r="L316" s="35" t="b">
        <x:v>1</x:v>
      </x:c>
    </x:row>
    <x:row r="317" ht="19" customHeight="1">
      <x:c r="A317" s="25" t="n">
        <x:v>0</x:v>
      </x:c>
      <x:c r="B317" s="28" t="n">
        <x:v>182269</x:v>
      </x:c>
      <x:c r="C317" s="25" t="n">
        <x:v>14728</x:v>
      </x:c>
      <x:c r="D317" s="25" t="n">
        <x:v>167541</x:v>
      </x:c>
      <x:c r="E317" s="25" t="n">
        <x:v>0.9960968620316532</x:v>
      </x:c>
      <x:c r="F317" s="25" t="n">
        <x:v>0.997055239642567</x:v>
      </x:c>
      <x:c r="G317" s="25" t="n">
        <x:v>-0.0009616703953186951</x:v>
      </x:c>
      <x:c r="H317" s="25" t="n">
        <x:v>9.216433759521426e-7</x:v>
      </x:c>
      <x:c r="I317" s="30" t="n">
        <x:v>0.08080364735637986</x:v>
      </x:c>
      <x:c r="J317" s="25" t="str">
        <x:v>FLAG_DOCUMENT_11</x:v>
      </x:c>
      <x:c r="K317" s="25" t="n">
        <x:v>0</x:v>
      </x:c>
      <x:c r="L317" s="35" t="b">
        <x:v>0</x:v>
      </x:c>
    </x:row>
    <x:row r="318" ht="19" customHeight="1">
      <x:c r="A318" s="25" t="n">
        <x:v>1</x:v>
      </x:c>
      <x:c r="B318" s="28" t="n">
        <x:v>699</x:v>
      </x:c>
      <x:c r="C318" s="25" t="n">
        <x:v>43</x:v>
      </x:c>
      <x:c r="D318" s="25" t="n">
        <x:v>656</x:v>
      </x:c>
      <x:c r="E318" s="25" t="n">
        <x:v>0.0039031379683468295</x:v>
      </x:c>
      <x:c r="F318" s="25" t="n">
        <x:v>0.0029447603574329815</x:v>
      </x:c>
      <x:c r="G318" s="25" t="n">
        <x:v>0.28175339577679626</x:v>
      </x:c>
      <x:c r="H318" s="25" t="n">
        <x:v>0.00027002614631142986</x:v>
      </x:c>
      <x:c r="I318" s="30" t="n">
        <x:v>0.06151645207439199</x:v>
      </x:c>
      <x:c r="J318" s="25" t="str">
        <x:v>FLAG_DOCUMENT_11</x:v>
      </x:c>
      <x:c r="K318" s="25" t="n">
        <x:v>1</x:v>
      </x:c>
      <x:c r="L318" s="35" t="b">
        <x:v>0</x:v>
      </x:c>
    </x:row>
    <x:row r="319" ht="19" customHeight="1">
      <x:c r="A319" s="25" t="n">
        <x:v>0</x:v>
      </x:c>
      <x:c r="B319" s="28" t="n">
        <x:v>182967</x:v>
      </x:c>
      <x:c r="C319" s="25" t="n">
        <x:v>14771</x:v>
      </x:c>
      <x:c r="D319" s="25" t="n">
        <x:v>168196</x:v>
      </x:c>
      <x:c r="E319" s="25" t="n">
        <x:v>0.9999910819391431</x:v>
      </x:c>
      <x:c r="F319" s="25" t="n">
        <x:v>0.9999661521797997</x:v>
      </x:c>
      <x:c r="G319" s="25" t="n">
        <x:v>0.000024930292427764827</x:v>
      </x:c>
      <x:c r="H319" s="25" t="n">
        <x:v>6.215061905854709e-10</x:v>
      </x:c>
      <x:c r="I319" s="30" t="n">
        <x:v>0.0807304049364093</x:v>
      </x:c>
      <x:c r="J319" s="25" t="str">
        <x:v>FLAG_DOCUMENT_12</x:v>
      </x:c>
      <x:c r="K319" s="25" t="n">
        <x:v>0</x:v>
      </x:c>
      <x:c r="L319" s="35" t="b">
        <x:v>0</x:v>
      </x:c>
    </x:row>
    <x:row r="320" ht="19" customHeight="1">
      <x:c r="A320" s="25" t="n">
        <x:v>1</x:v>
      </x:c>
      <x:c r="B320" s="28" t="n">
        <x:v>1</x:v>
      </x:c>
      <x:c r="C320" s="25" t="n">
        <x:v>0</x:v>
      </x:c>
      <x:c r="D320" s="25" t="n">
        <x:v>1</x:v>
      </x:c>
      <x:c r="E320" s="25" t="n">
        <x:v>0.000008918060856847287</x:v>
      </x:c>
      <x:c r="F320" s="25" t="n">
        <x:v>0.000033847820200379094</x:v>
      </x:c>
      <x:c r="G320" s="25" t="n">
        <x:v>-1.3337960712033063</x:v>
      </x:c>
      <x:c r="H320" s="25" t="n">
        <x:v>0.000033251215068446644</x:v>
      </x:c>
      <x:c r="I320" s="30" t="n">
        <x:v>0</x:v>
      </x:c>
      <x:c r="J320" s="25" t="str">
        <x:v>FLAG_DOCUMENT_12</x:v>
      </x:c>
      <x:c r="K320" s="25" t="n">
        <x:v>1</x:v>
      </x:c>
      <x:c r="L320" s="35" t="b">
        <x:v>1</x:v>
      </x:c>
    </x:row>
    <x:row r="321" ht="19" customHeight="1">
      <x:c r="A321" s="25" t="n">
        <x:v>0</x:v>
      </x:c>
      <x:c r="B321" s="28" t="n">
        <x:v>182364</x:v>
      </x:c>
      <x:c r="C321" s="25" t="n">
        <x:v>14755</x:v>
      </x:c>
      <x:c r="D321" s="25" t="n">
        <x:v>167609</x:v>
      </x:c>
      <x:c r="E321" s="25" t="n">
        <x:v>0.9965011474571636</x:v>
      </x:c>
      <x:c r="F321" s="25" t="n">
        <x:v>0.9988830219333875</x:v>
      </x:c>
      <x:c r="G321" s="25" t="n">
        <x:v>-0.00238738549104976</x:v>
      </x:c>
      <x:c r="H321" s="25" t="n">
        <x:v>0.000005686452566038818</x:v>
      </x:c>
      <x:c r="I321" s="30" t="n">
        <x:v>0.08090960935272312</x:v>
      </x:c>
      <x:c r="J321" s="25" t="str">
        <x:v>FLAG_DOCUMENT_13</x:v>
      </x:c>
      <x:c r="K321" s="25" t="n">
        <x:v>0</x:v>
      </x:c>
      <x:c r="L321" s="35" t="b">
        <x:v>0</x:v>
      </x:c>
    </x:row>
    <x:row r="322" ht="19" customHeight="1">
      <x:c r="A322" s="25" t="n">
        <x:v>1</x:v>
      </x:c>
      <x:c r="B322" s="28" t="n">
        <x:v>604</x:v>
      </x:c>
      <x:c r="C322" s="25" t="n">
        <x:v>16</x:v>
      </x:c>
      <x:c r="D322" s="25" t="n">
        <x:v>588</x:v>
      </x:c>
      <x:c r="E322" s="25" t="n">
        <x:v>0.003498852542836419</x:v>
      </x:c>
      <x:c r="F322" s="25" t="n">
        <x:v>0.0011169780666125102</x:v>
      </x:c>
      <x:c r="G322" s="25" t="n">
        <x:v>1.1418081859223803</x:v>
      </x:c>
      <x:c r="H322" s="25" t="n">
        <x:v>0.0027196437747920407</x:v>
      </x:c>
      <x:c r="I322" s="30" t="n">
        <x:v>0.026490066225165563</x:v>
      </x:c>
      <x:c r="J322" s="25" t="str">
        <x:v>FLAG_DOCUMENT_13</x:v>
      </x:c>
      <x:c r="K322" s="25" t="n">
        <x:v>1</x:v>
      </x:c>
      <x:c r="L322" s="35" t="b">
        <x:v>0</x:v>
      </x:c>
    </x:row>
    <x:row r="323" ht="19" customHeight="1">
      <x:c r="A323" s="25" t="n">
        <x:v>0</x:v>
      </x:c>
      <x:c r="B323" s="28" t="n">
        <x:v>182426</x:v>
      </x:c>
      <x:c r="C323" s="25" t="n">
        <x:v>14751</x:v>
      </x:c>
      <x:c r="D323" s="25" t="n">
        <x:v>167675</x:v>
      </x:c>
      <x:c r="E323" s="25" t="n">
        <x:v>0.9968935421348648</x:v>
      </x:c>
      <x:c r="F323" s="25" t="n">
        <x:v>0.9986122393717844</x:v>
      </x:c>
      <x:c r="G323" s="25" t="n">
        <x:v>-0.0017225684614198208</x:v>
      </x:c>
      <x:c r="H323" s="25" t="n">
        <x:v>0.000002960573655047165</x:v>
      </x:c>
      <x:c r="I323" s="30" t="n">
        <x:v>0.08086018440353897</x:v>
      </x:c>
      <x:c r="J323" s="25" t="str">
        <x:v>FLAG_DOCUMENT_14</x:v>
      </x:c>
      <x:c r="K323" s="25" t="n">
        <x:v>0</x:v>
      </x:c>
      <x:c r="L323" s="35" t="b">
        <x:v>0</x:v>
      </x:c>
    </x:row>
    <x:row r="324" ht="19" customHeight="1">
      <x:c r="A324" s="25" t="n">
        <x:v>1</x:v>
      </x:c>
      <x:c r="B324" s="28" t="n">
        <x:v>542</x:v>
      </x:c>
      <x:c r="C324" s="25" t="n">
        <x:v>20</x:v>
      </x:c>
      <x:c r="D324" s="25" t="n">
        <x:v>522</x:v>
      </x:c>
      <x:c r="E324" s="25" t="n">
        <x:v>0.0031064578651351384</x:v>
      </x:c>
      <x:c r="F324" s="25" t="n">
        <x:v>0.001387760628215543</x:v>
      </x:c>
      <x:c r="G324" s="25" t="n">
        <x:v>0.8057917378231875</x:v>
      </x:c>
      <x:c r="H324" s="25" t="n">
        <x:v>0.0013849120333293513</x:v>
      </x:c>
      <x:c r="I324" s="30" t="n">
        <x:v>0.03690036900369004</x:v>
      </x:c>
      <x:c r="J324" s="25" t="str">
        <x:v>FLAG_DOCUMENT_14</x:v>
      </x:c>
      <x:c r="K324" s="25" t="n">
        <x:v>1</x:v>
      </x:c>
      <x:c r="L324" s="35" t="b">
        <x:v>0</x:v>
      </x:c>
    </x:row>
    <x:row r="325" ht="19" customHeight="1">
      <x:c r="A325" s="25" t="n">
        <x:v>0</x:v>
      </x:c>
      <x:c r="B325" s="28" t="n">
        <x:v>182760</x:v>
      </x:c>
      <x:c r="C325" s="25" t="n">
        <x:v>14766</x:v>
      </x:c>
      <x:c r="D325" s="25" t="n">
        <x:v>167994</x:v>
      </x:c>
      <x:c r="E325" s="25" t="n">
        <x:v>0.998790116410421</x:v>
      </x:c>
      <x:c r="F325" s="25" t="n">
        <x:v>0.9996276739777958</x:v>
      </x:c>
      <x:c r="G325" s="25" t="n">
        <x:v>-0.0008382207368680624</x:v>
      </x:c>
      <x:c r="H325" s="25" t="n">
        <x:v>7.020581212943288e-7</x:v>
      </x:c>
      <x:c r="I325" s="30" t="n">
        <x:v>0.08079448456992777</x:v>
      </x:c>
      <x:c r="J325" s="25" t="str">
        <x:v>FLAG_DOCUMENT_15</x:v>
      </x:c>
      <x:c r="K325" s="25" t="n">
        <x:v>0</x:v>
      </x:c>
      <x:c r="L325" s="35" t="b">
        <x:v>0</x:v>
      </x:c>
    </x:row>
    <x:row r="326" ht="19" customHeight="1">
      <x:c r="A326" s="25" t="n">
        <x:v>1</x:v>
      </x:c>
      <x:c r="B326" s="28" t="n">
        <x:v>208</x:v>
      </x:c>
      <x:c r="C326" s="25" t="n">
        <x:v>5</x:v>
      </x:c>
      <x:c r="D326" s="25" t="n">
        <x:v>203</x:v>
      </x:c>
      <x:c r="E326" s="25" t="n">
        <x:v>0.0012098835895789485</x:v>
      </x:c>
      <x:c r="F326" s="25" t="n">
        <x:v>0.00037232602220417006</x:v>
      </x:c>
      <x:c r="G326" s="25" t="n">
        <x:v>1.1785095527728082</x:v>
      </x:c>
      <x:c r="H326" s="25" t="n">
        <x:v>0.0009870695941483314</x:v>
      </x:c>
      <x:c r="I326" s="30" t="n">
        <x:v>0.02403846153846154</x:v>
      </x:c>
      <x:c r="J326" s="25" t="str">
        <x:v>FLAG_DOCUMENT_15</x:v>
      </x:c>
      <x:c r="K326" s="25" t="n">
        <x:v>1</x:v>
      </x:c>
      <x:c r="L326" s="35" t="b">
        <x:v>1</x:v>
      </x:c>
    </x:row>
    <x:row r="327" ht="19" customHeight="1">
      <x:c r="A327" s="25" t="n">
        <x:v>0</x:v>
      </x:c>
      <x:c r="B327" s="28" t="n">
        <x:v>181116</x:v>
      </x:c>
      <x:c r="C327" s="25" t="n">
        <x:v>14679</x:v>
      </x:c>
      <x:c r="D327" s="25" t="n">
        <x:v>166437</x:v>
      </x:c>
      <x:c r="E327" s="25" t="n">
        <x:v>0.9895331692410135</x:v>
      </x:c>
      <x:c r="F327" s="25" t="n">
        <x:v>0.9937381532629299</x:v>
      </x:c>
      <x:c r="G327" s="25" t="n">
        <x:v>-0.004240458958077601</x:v>
      </x:c>
      <x:c r="H327" s="25" t="n">
        <x:v>0.000017831062164308493</x:v>
      </x:c>
      <x:c r="I327" s="30" t="n">
        <x:v>0.08104750546611011</x:v>
      </x:c>
      <x:c r="J327" s="25" t="str">
        <x:v>FLAG_DOCUMENT_16</x:v>
      </x:c>
      <x:c r="K327" s="25" t="n">
        <x:v>0</x:v>
      </x:c>
      <x:c r="L327" s="35" t="b">
        <x:v>0</x:v>
      </x:c>
    </x:row>
    <x:row r="328" ht="19" customHeight="1">
      <x:c r="A328" s="25" t="n">
        <x:v>1</x:v>
      </x:c>
      <x:c r="B328" s="28" t="n">
        <x:v>1852</x:v>
      </x:c>
      <x:c r="C328" s="25" t="n">
        <x:v>92</x:v>
      </x:c>
      <x:c r="D328" s="25" t="n">
        <x:v>1760</x:v>
      </x:c>
      <x:c r="E328" s="25" t="n">
        <x:v>0.010466830758986433</x:v>
      </x:c>
      <x:c r="F328" s="25" t="n">
        <x:v>0.006261846737070133</x:v>
      </x:c>
      <x:c r="G328" s="25" t="n">
        <x:v>0.5137361342053114</x:v>
      </x:c>
      <x:c r="H328" s="25" t="n">
        <x:v>0.002160252235814382</x:v>
      </x:c>
      <x:c r="I328" s="30" t="n">
        <x:v>0.04967602591792657</x:v>
      </x:c>
      <x:c r="J328" s="25" t="str">
        <x:v>FLAG_DOCUMENT_16</x:v>
      </x:c>
      <x:c r="K328" s="25" t="n">
        <x:v>1</x:v>
      </x:c>
      <x:c r="L328" s="35" t="b">
        <x:v>0</x:v>
      </x:c>
    </x:row>
    <x:row r="329" ht="19" customHeight="1">
      <x:c r="A329" s="25" t="n">
        <x:v>0</x:v>
      </x:c>
      <x:c r="B329" s="28" t="n">
        <x:v>182919</x:v>
      </x:c>
      <x:c r="C329" s="25" t="n">
        <x:v>14770</x:v>
      </x:c>
      <x:c r="D329" s="25" t="n">
        <x:v>168149</x:v>
      </x:c>
      <x:c r="E329" s="25" t="n">
        <x:v>0.9997116493656286</x:v>
      </x:c>
      <x:c r="F329" s="25" t="n">
        <x:v>0.9998984565393989</x:v>
      </x:c>
      <x:c r="G329" s="25" t="n">
        <x:v>-0.0001868435989216687</x:v>
      </x:c>
      <x:c r="H329" s="25" t="n">
        <x:v>3.490372465162597e-8</x:v>
      </x:c>
      <x:c r="I329" s="30" t="n">
        <x:v>0.08074612260071398</x:v>
      </x:c>
      <x:c r="J329" s="25" t="str">
        <x:v>FLAG_DOCUMENT_17</x:v>
      </x:c>
      <x:c r="K329" s="25" t="n">
        <x:v>0</x:v>
      </x:c>
      <x:c r="L329" s="35" t="b">
        <x:v>0</x:v>
      </x:c>
    </x:row>
    <x:row r="330" ht="19" customHeight="1">
      <x:c r="A330" s="25" t="n">
        <x:v>1</x:v>
      </x:c>
      <x:c r="B330" s="28" t="n">
        <x:v>49</x:v>
      </x:c>
      <x:c r="C330" s="25" t="n">
        <x:v>1</x:v>
      </x:c>
      <x:c r="D330" s="25" t="n">
        <x:v>48</x:v>
      </x:c>
      <x:c r="E330" s="25" t="n">
        <x:v>0.0002883506343713956</x:v>
      </x:c>
      <x:c r="F330" s="25" t="n">
        <x:v>0.00010154346060113728</x:v>
      </x:c>
      <x:c r="G330" s="25" t="n">
        <x:v>1.0436903299638571</x:v>
      </x:c>
      <x:c r="H330" s="25" t="n">
        <x:v>0.00019496884083189652</x:v>
      </x:c>
      <x:c r="I330" s="30" t="n">
        <x:v>0.02040816326530612</x:v>
      </x:c>
      <x:c r="J330" s="25" t="str">
        <x:v>FLAG_DOCUMENT_17</x:v>
      </x:c>
      <x:c r="K330" s="25" t="n">
        <x:v>1</x:v>
      </x:c>
      <x:c r="L330" s="35" t="b">
        <x:v>1</x:v>
      </x:c>
    </x:row>
    <x:row r="331" ht="19" customHeight="1">
      <x:c r="A331" s="25" t="n">
        <x:v>0</x:v>
      </x:c>
      <x:c r="B331" s="28" t="n">
        <x:v>181513</x:v>
      </x:c>
      <x:c r="C331" s="25" t="n">
        <x:v>14681</x:v>
      </x:c>
      <x:c r="D331" s="25" t="n">
        <x:v>166832</x:v>
      </x:c>
      <x:c r="E331" s="25" t="n">
        <x:v>0.9918815919333167</x:v>
      </x:c>
      <x:c r="F331" s="25" t="n">
        <x:v>0.9938735445437313</x:v>
      </x:c>
      <x:c r="G331" s="25" t="n">
        <x:v>-0.0020062426045984487</x:v>
      </x:c>
      <x:c r="H331" s="25" t="n">
        <x:v>0.00000399634019335492</x:v>
      </x:c>
      <x:c r="I331" s="30" t="n">
        <x:v>0.08088125919355639</x:v>
      </x:c>
      <x:c r="J331" s="25" t="str">
        <x:v>FLAG_DOCUMENT_18</x:v>
      </x:c>
      <x:c r="K331" s="25" t="n">
        <x:v>0</x:v>
      </x:c>
      <x:c r="L331" s="35" t="b">
        <x:v>0</x:v>
      </x:c>
    </x:row>
    <x:row r="332" ht="19" customHeight="1">
      <x:c r="A332" s="25" t="n">
        <x:v>1</x:v>
      </x:c>
      <x:c r="B332" s="28" t="n">
        <x:v>1455</x:v>
      </x:c>
      <x:c r="C332" s="25" t="n">
        <x:v>90</x:v>
      </x:c>
      <x:c r="D332" s="25" t="n">
        <x:v>1365</x:v>
      </x:c>
      <x:c r="E332" s="25" t="n">
        <x:v>0.008118408066683314</x:v>
      </x:c>
      <x:c r="F332" s="25" t="n">
        <x:v>0.006126455456268616</x:v>
      </x:c>
      <x:c r="G332" s="25" t="n">
        <x:v>0.2815177303364632</x:v>
      </x:c>
      <x:c r="H332" s="25" t="n">
        <x:v>0.0005607699778217389</x:v>
      </x:c>
      <x:c r="I332" s="30" t="n">
        <x:v>0.061855670103092786</x:v>
      </x:c>
      <x:c r="J332" s="25" t="str">
        <x:v>FLAG_DOCUMENT_18</x:v>
      </x:c>
      <x:c r="K332" s="25" t="n">
        <x:v>1</x:v>
      </x:c>
      <x:c r="L332" s="35" t="b">
        <x:v>0</x:v>
      </x:c>
    </x:row>
    <x:row r="333" ht="19" customHeight="1">
      <x:c r="A333" s="25" t="n">
        <x:v>0</x:v>
      </x:c>
      <x:c r="B333" s="28" t="n">
        <x:v>182855</x:v>
      </x:c>
      <x:c r="C333" s="25" t="n">
        <x:v>14764</x:v>
      </x:c>
      <x:c r="D333" s="25" t="n">
        <x:v>168091</x:v>
      </x:c>
      <x:c r="E333" s="25" t="n">
        <x:v>0.9993668176791638</x:v>
      </x:c>
      <x:c r="F333" s="25" t="n">
        <x:v>0.9994922826969943</x:v>
      </x:c>
      <x:c r="G333" s="25" t="n">
        <x:v>-0.00012553663034245758</x:v>
      </x:c>
      <x:c r="H333" s="25" t="n">
        <x:v>1.5750455564298096e-8</x:v>
      </x:c>
      <x:c r="I333" s="30" t="n">
        <x:v>0.08074157119028738</x:v>
      </x:c>
      <x:c r="J333" s="25" t="str">
        <x:v>FLAG_DOCUMENT_19</x:v>
      </x:c>
      <x:c r="K333" s="25" t="n">
        <x:v>0</x:v>
      </x:c>
      <x:c r="L333" s="35" t="b">
        <x:v>0</x:v>
      </x:c>
    </x:row>
    <x:row r="334" ht="19" customHeight="1">
      <x:c r="A334" s="25" t="n">
        <x:v>1</x:v>
      </x:c>
      <x:c r="B334" s="28" t="n">
        <x:v>113</x:v>
      </x:c>
      <x:c r="C334" s="25" t="n">
        <x:v>7</x:v>
      </x:c>
      <x:c r="D334" s="25" t="n">
        <x:v>106</x:v>
      </x:c>
      <x:c r="E334" s="25" t="n">
        <x:v>0.0006331823208361574</x:v>
      </x:c>
      <x:c r="F334" s="25" t="n">
        <x:v>0.0005077173030056864</x:v>
      </x:c>
      <x:c r="G334" s="25" t="n">
        <x:v>0.22083360473579902</x:v>
      </x:c>
      <x:c r="H334" s="25" t="n">
        <x:v>0.000027706892155744208</x:v>
      </x:c>
      <x:c r="I334" s="30" t="n">
        <x:v>0.061946902654867256</x:v>
      </x:c>
      <x:c r="J334" s="25" t="str">
        <x:v>FLAG_DOCUMENT_19</x:v>
      </x:c>
      <x:c r="K334" s="25" t="n">
        <x:v>1</x:v>
      </x:c>
      <x:c r="L334" s="35" t="b">
        <x:v>1</x:v>
      </x:c>
    </x:row>
    <x:row r="335" ht="19" customHeight="1">
      <x:c r="A335" s="25" t="n">
        <x:v>0</x:v>
      </x:c>
      <x:c r="B335" s="28" t="n">
        <x:v>182878</x:v>
      </x:c>
      <x:c r="C335" s="25" t="n">
        <x:v>14762</x:v>
      </x:c>
      <x:c r="D335" s="25" t="n">
        <x:v>168116</x:v>
      </x:c>
      <x:c r="E335" s="25" t="n">
        <x:v>0.9995154520267779</x:v>
      </x:c>
      <x:c r="F335" s="25" t="n">
        <x:v>0.9993568914161928</x:v>
      </x:c>
      <x:c r="G335" s="25" t="n">
        <x:v>0.0001586500623092961</x:v>
      </x:c>
      <x:c r="H335" s="25" t="n">
        <x:v>2.5155650749136907e-8</x:v>
      </x:c>
      <x:c r="I335" s="30" t="n">
        <x:v>0.08072048032021348</x:v>
      </x:c>
      <x:c r="J335" s="25" t="str">
        <x:v>FLAG_DOCUMENT_20</x:v>
      </x:c>
      <x:c r="K335" s="25" t="n">
        <x:v>0</x:v>
      </x:c>
      <x:c r="L335" s="35" t="b">
        <x:v>0</x:v>
      </x:c>
    </x:row>
    <x:row r="336" ht="19" customHeight="1">
      <x:c r="A336" s="25" t="n">
        <x:v>1</x:v>
      </x:c>
      <x:c r="B336" s="28" t="n">
        <x:v>90</x:v>
      </x:c>
      <x:c r="C336" s="25" t="n">
        <x:v>9</x:v>
      </x:c>
      <x:c r="D336" s="25" t="n">
        <x:v>81</x:v>
      </x:c>
      <x:c r="E336" s="25" t="n">
        <x:v>0.00048454797322203594</x:v>
      </x:c>
      <x:c r="F336" s="25" t="n">
        <x:v>0.0006431085838072029</x:v>
      </x:c>
      <x:c r="G336" s="25" t="n">
        <x:v>-0.2830971382310943</x:v>
      </x:c>
      <x:c r="H336" s="25" t="n">
        <x:v>0.00004488805509283571</x:v>
      </x:c>
      <x:c r="I336" s="30" t="n">
        <x:v>0.1</x:v>
      </x:c>
      <x:c r="J336" s="25" t="str">
        <x:v>FLAG_DOCUMENT_20</x:v>
      </x:c>
      <x:c r="K336" s="25" t="n">
        <x:v>1</x:v>
      </x:c>
      <x:c r="L336" s="35" t="b">
        <x:v>1</x:v>
      </x:c>
    </x:row>
    <x:row r="337" ht="19" customHeight="1">
      <x:c r="A337" s="25" t="n">
        <x:v>0</x:v>
      </x:c>
      <x:c r="B337" s="28" t="n">
        <x:v>182911</x:v>
      </x:c>
      <x:c r="C337" s="25" t="n">
        <x:v>14762</x:v>
      </x:c>
      <x:c r="D337" s="25" t="n">
        <x:v>168149</x:v>
      </x:c>
      <x:c r="E337" s="25" t="n">
        <x:v>0.9997116493656286</x:v>
      </x:c>
      <x:c r="F337" s="25" t="n">
        <x:v>0.9993568914161928</x:v>
      </x:c>
      <x:c r="G337" s="25" t="n">
        <x:v>0.0003549232514270388</x:v>
      </x:c>
      <x:c r="H337" s="25" t="n">
        <x:v>1.259118448833597e-7</x:v>
      </x:c>
      <x:c r="I337" s="30" t="n">
        <x:v>0.08070591708535846</x:v>
      </x:c>
      <x:c r="J337" s="25" t="str">
        <x:v>FLAG_DOCUMENT_21</x:v>
      </x:c>
      <x:c r="K337" s="25" t="n">
        <x:v>0</x:v>
      </x:c>
      <x:c r="L337" s="35" t="b">
        <x:v>0</x:v>
      </x:c>
    </x:row>
    <x:row r="338" ht="19" customHeight="1">
      <x:c r="A338" s="25" t="n">
        <x:v>1</x:v>
      </x:c>
      <x:c r="B338" s="28" t="n">
        <x:v>57</x:v>
      </x:c>
      <x:c r="C338" s="25" t="n">
        <x:v>9</x:v>
      </x:c>
      <x:c r="D338" s="25" t="n">
        <x:v>48</x:v>
      </x:c>
      <x:c r="E338" s="25" t="n">
        <x:v>0.0002883506343713956</x:v>
      </x:c>
      <x:c r="F338" s="25" t="n">
        <x:v>0.0006431085838072029</x:v>
      </x:c>
      <x:c r="G338" s="25" t="n">
        <x:v>-0.8021363605344738</x:v>
      </x:c>
      <x:c r="H338" s="25" t="n">
        <x:v>0.0002845642504311113</x:v>
      </x:c>
      <x:c r="I338" s="30" t="n">
        <x:v>0.15789473684210525</x:v>
      </x:c>
      <x:c r="J338" s="25" t="str">
        <x:v>FLAG_DOCUMENT_21</x:v>
      </x:c>
      <x:c r="K338" s="25" t="n">
        <x:v>1</x:v>
      </x:c>
      <x:c r="L338" s="35" t="b">
        <x:v>1</x:v>
      </x:c>
    </x:row>
    <x:row r="339" ht="19" customHeight="1">
      <x:c r="A339" s="25" t="n">
        <x:v>0</x:v>
      </x:c>
      <x:c r="B339" s="28" t="n">
        <x:v>158249</x:v>
      </x:c>
      <x:c r="C339" s="25" t="n">
        <x:v>12177</x:v>
      </x:c>
      <x:c r="D339" s="25" t="n">
        <x:v>146072</x:v>
      </x:c>
      <x:c r="E339" s="25" t="n">
        <x:v>0.8684556296745503</x:v>
      </x:c>
      <x:c r="F339" s="25" t="n">
        <x:v>0.8243636609802328</x:v>
      </x:c>
      <x:c r="G339" s="25" t="n">
        <x:v>0.05210472722809131</x:v>
      </x:c>
      <x:c r="H339" s="25" t="n">
        <x:v>0.0022974000017669505</x:v>
      </x:c>
      <x:c r="I339" s="30" t="n">
        <x:v>0.07694835354409822</x:v>
      </x:c>
      <x:c r="J339" s="25" t="str">
        <x:v>AMT_REQ_CREDIT_BUREAU_HOUR__MISSING</x:v>
      </x:c>
      <x:c r="K339" s="25" t="n">
        <x:v>0</x:v>
      </x:c>
      <x:c r="L339" s="35" t="b">
        <x:v>0</x:v>
      </x:c>
    </x:row>
    <x:row r="340" ht="19" customHeight="1">
      <x:c r="A340" s="25" t="n">
        <x:v>1</x:v>
      </x:c>
      <x:c r="B340" s="28" t="n">
        <x:v>24719</x:v>
      </x:c>
      <x:c r="C340" s="25" t="n">
        <x:v>2594</x:v>
      </x:c>
      <x:c r="D340" s="25" t="n">
        <x:v>22125</x:v>
      </x:c>
      <x:c r="E340" s="25" t="n">
        <x:v>0.13154437032544977</x:v>
      </x:c>
      <x:c r="F340" s="25" t="n">
        <x:v>0.17563633901976713</x:v>
      </x:c>
      <x:c r="G340" s="25" t="n">
        <x:v>-0.2890713901883743</x:v>
      </x:c>
      <x:c r="H340" s="25" t="n">
        <x:v>0.012745726686608599</x:v>
      </x:c>
      <x:c r="I340" s="30" t="n">
        <x:v>0.10493952020712811</x:v>
      </x:c>
      <x:c r="J340" s="25" t="str">
        <x:v>AMT_REQ_CREDIT_BUREAU_HOUR__MISSING</x:v>
      </x:c>
      <x:c r="K340" s="25" t="n">
        <x:v>1</x:v>
      </x:c>
      <x:c r="L340" s="35" t="b">
        <x:v>0</x:v>
      </x:c>
    </x:row>
    <x:row r="341" ht="19" customHeight="1">
      <x:c r="A341" s="25" t="n">
        <x:v>0</x:v>
      </x:c>
      <x:c r="B341" s="28" t="n">
        <x:v>157316</x:v>
      </x:c>
      <x:c r="C341" s="25" t="n">
        <x:v>12103</x:v>
      </x:c>
      <x:c r="D341" s="25" t="n">
        <x:v>145213</x:v>
      </x:c>
      <x:c r="E341" s="25" t="n">
        <x:v>0.8633382877526754</x:v>
      </x:c>
      <x:c r="F341" s="25" t="n">
        <x:v>0.819243265195614</x:v>
      </x:c>
      <x:c r="G341" s="25" t="n">
        <x:v>0.05242553786854515</x:v>
      </x:c>
      <x:c r="H341" s="25" t="n">
        <x:v>0.002311705274879577</x:v>
      </x:c>
      <x:c r="I341" s="30" t="n">
        <x:v>0.07693432327290295</x:v>
      </x:c>
      <x:c r="J341" s="25" t="str">
        <x:v>AMT_REQ_CREDIT_BUREAU_HOUR</x:v>
      </x:c>
      <x:c r="K341" s="25" t="n">
        <x:v>0</x:v>
      </x:c>
      <x:c r="L341" s="35" t="b">
        <x:v>0</x:v>
      </x:c>
    </x:row>
    <x:row r="342" ht="19" customHeight="1">
      <x:c r="A342" s="25" t="n">
        <x:v>1</x:v>
      </x:c>
      <x:c r="B342" s="28" t="n">
        <x:v>895</x:v>
      </x:c>
      <x:c r="C342" s="25" t="n">
        <x:v>70</x:v>
      </x:c>
      <x:c r="D342" s="25" t="n">
        <x:v>825</x:v>
      </x:c>
      <x:c r="E342" s="25" t="n">
        <x:v>0.0049078478002378126</x:v>
      </x:c>
      <x:c r="F342" s="25" t="n">
        <x:v>0.004771896575064302</x:v>
      </x:c>
      <x:c r="G342" s="25" t="n">
        <x:v>0.028091685109658263</x:v>
      </x:c>
      <x:c r="H342" s="25" t="n">
        <x:v>0.0000038190990078465034</x:v>
      </x:c>
      <x:c r="I342" s="30" t="n">
        <x:v>0.0782122905027933</x:v>
      </x:c>
      <x:c r="J342" s="25" t="str">
        <x:v>AMT_REQ_CREDIT_BUREAU_HOUR</x:v>
      </x:c>
      <x:c r="K342" s="25" t="n">
        <x:v>1</x:v>
      </x:c>
      <x:c r="L342" s="35" t="b">
        <x:v>0</x:v>
      </x:c>
    </x:row>
    <x:row r="343" ht="19" customHeight="1">
      <x:c r="A343" s="25" t="n">
        <x:v>2</x:v>
      </x:c>
      <x:c r="B343" s="28" t="n">
        <x:v>32</x:v>
      </x:c>
      <x:c r="C343" s="25" t="n">
        <x:v>4</x:v>
      </x:c>
      <x:c r="D343" s="25" t="n">
        <x:v>28</x:v>
      </x:c>
      <x:c r="E343" s="25" t="n">
        <x:v>0.0001694411414982164</x:v>
      </x:c>
      <x:c r="F343" s="25" t="n">
        <x:v>0.0003045891430892108</x:v>
      </x:c>
      <x:c r="G343" s="25" t="n">
        <x:v>-0.586458177933971</x:v>
      </x:c>
      <x:c r="H343" s="25" t="n">
        <x:v>0.00007925865076447199</x:v>
      </x:c>
      <x:c r="I343" s="30" t="n">
        <x:v>0.125</x:v>
      </x:c>
      <x:c r="J343" s="25" t="str">
        <x:v>AMT_REQ_CREDIT_BUREAU_HOUR</x:v>
      </x:c>
      <x:c r="K343" s="25" t="n">
        <x:v>2</x:v>
      </x:c>
      <x:c r="L343" s="35" t="b">
        <x:v>1</x:v>
      </x:c>
    </x:row>
    <x:row r="344" ht="19" customHeight="1">
      <x:c r="A344" s="25" t="n">
        <x:v>3</x:v>
      </x:c>
      <x:c r="B344" s="28" t="n">
        <x:v>5</x:v>
      </x:c>
      <x:c r="C344" s="25" t="n">
        <x:v>0</x:v>
      </x:c>
      <x:c r="D344" s="25" t="n">
        <x:v>5</x:v>
      </x:c>
      <x:c r="E344" s="25" t="n">
        <x:v>0.000032699167657550535</x:v>
      </x:c>
      <x:c r="F344" s="25" t="n">
        <x:v>0.00003384323812102342</x:v>
      </x:c>
      <x:c r="G344" s="25" t="n">
        <x:v>-0.034389595633931166</x:v>
      </x:c>
      <x:c r="H344" s="25" t="n">
        <x:v>3.934412061555681e-8</x:v>
      </x:c>
      <x:c r="I344" s="30" t="n">
        <x:v>0</x:v>
      </x:c>
      <x:c r="J344" s="25" t="str">
        <x:v>AMT_REQ_CREDIT_BUREAU_HOUR</x:v>
      </x:c>
      <x:c r="K344" s="25" t="n">
        <x:v>3</x:v>
      </x:c>
      <x:c r="L344" s="35" t="b">
        <x:v>1</x:v>
      </x:c>
    </x:row>
    <x:row r="345" ht="19" customHeight="1">
      <x:c r="A345" s="25" t="n">
        <x:v>4</x:v>
      </x:c>
      <x:c r="B345" s="28" t="n">
        <x:v>1</x:v>
      </x:c>
      <x:c r="C345" s="25" t="n">
        <x:v>0</x:v>
      </x:c>
      <x:c r="D345" s="25" t="n">
        <x:v>1</x:v>
      </x:c>
      <x:c r="E345" s="25" t="n">
        <x:v>0.0000089179548156956</x:v>
      </x:c>
      <x:c r="F345" s="25" t="n">
        <x:v>0.00003384323812102342</x:v>
      </x:c>
      <x:c r="G345" s="25" t="n">
        <x:v>-1.3336725797641922</x:v>
      </x:c>
      <x:c r="H345" s="25" t="n">
        <x:v>0.00003324216688716991</x:v>
      </x:c>
      <x:c r="I345" s="30" t="n">
        <x:v>0</x:v>
      </x:c>
      <x:c r="J345" s="25" t="str">
        <x:v>AMT_REQ_CREDIT_BUREAU_HOUR</x:v>
      </x:c>
      <x:c r="K345" s="25" t="n">
        <x:v>4</x:v>
      </x:c>
      <x:c r="L345" s="35" t="b">
        <x:v>1</x:v>
      </x:c>
    </x:row>
    <x:row r="346" ht="19" customHeight="1">
      <x:c r="A346" s="25" t="str">
        <x:v>Missing</x:v>
      </x:c>
      <x:c r="B346" s="28" t="n">
        <x:v>24719</x:v>
      </x:c>
      <x:c r="C346" s="25" t="n">
        <x:v>2594</x:v>
      </x:c>
      <x:c r="D346" s="25" t="n">
        <x:v>22125</x:v>
      </x:c>
      <x:c r="E346" s="25" t="n">
        <x:v>0.13154280618311534</x:v>
      </x:c>
      <x:c r="F346" s="25" t="n">
        <x:v>0.17561256260999053</x:v>
      </x:c>
      <x:c r="G346" s="25" t="n">
        <x:v>-0.2889478987492598</x:v>
      </x:c>
      <x:c r="H346" s="25" t="n">
        <x:v>0.012733863517937274</x:v>
      </x:c>
      <x:c r="I346" s="30" t="n">
        <x:v>0.10493952020712811</x:v>
      </x:c>
      <x:c r="J346" s="25" t="str">
        <x:v>AMT_REQ_CREDIT_BUREAU_HOUR</x:v>
      </x:c>
      <x:c r="K346" s="25" t="str">
        <x:v>Missing</x:v>
      </x:c>
      <x:c r="L346" s="35" t="b">
        <x:v>0</x:v>
      </x:c>
    </x:row>
    <x:row r="347" ht="19" customHeight="1">
      <x:c r="A347" s="25" t="n">
        <x:v>0</x:v>
      </x:c>
      <x:c r="B347" s="28" t="n">
        <x:v>158249</x:v>
      </x:c>
      <x:c r="C347" s="25" t="n">
        <x:v>12177</x:v>
      </x:c>
      <x:c r="D347" s="25" t="n">
        <x:v>146072</x:v>
      </x:c>
      <x:c r="E347" s="25" t="n">
        <x:v>0.8684556296745503</x:v>
      </x:c>
      <x:c r="F347" s="25" t="n">
        <x:v>0.8243636609802328</x:v>
      </x:c>
      <x:c r="G347" s="25" t="n">
        <x:v>0.05210472722809131</x:v>
      </x:c>
      <x:c r="H347" s="25" t="n">
        <x:v>0.0022974000017669505</x:v>
      </x:c>
      <x:c r="I347" s="30" t="n">
        <x:v>0.07694835354409822</x:v>
      </x:c>
      <x:c r="J347" s="25" t="str">
        <x:v>AMT_REQ_CREDIT_BUREAU_DAY__MISSING</x:v>
      </x:c>
      <x:c r="K347" s="25" t="n">
        <x:v>0</x:v>
      </x:c>
      <x:c r="L347" s="35" t="b">
        <x:v>0</x:v>
      </x:c>
    </x:row>
    <x:row r="348" ht="19" customHeight="1">
      <x:c r="A348" s="25" t="n">
        <x:v>1</x:v>
      </x:c>
      <x:c r="B348" s="28" t="n">
        <x:v>24719</x:v>
      </x:c>
      <x:c r="C348" s="25" t="n">
        <x:v>2594</x:v>
      </x:c>
      <x:c r="D348" s="25" t="n">
        <x:v>22125</x:v>
      </x:c>
      <x:c r="E348" s="25" t="n">
        <x:v>0.13154437032544977</x:v>
      </x:c>
      <x:c r="F348" s="25" t="n">
        <x:v>0.17563633901976713</x:v>
      </x:c>
      <x:c r="G348" s="25" t="n">
        <x:v>-0.2890713901883743</x:v>
      </x:c>
      <x:c r="H348" s="25" t="n">
        <x:v>0.012745726686608599</x:v>
      </x:c>
      <x:c r="I348" s="30" t="n">
        <x:v>0.10493952020712811</x:v>
      </x:c>
      <x:c r="J348" s="25" t="str">
        <x:v>AMT_REQ_CREDIT_BUREAU_DAY__MISSING</x:v>
      </x:c>
      <x:c r="K348" s="25" t="n">
        <x:v>1</x:v>
      </x:c>
      <x:c r="L348" s="35" t="b">
        <x:v>0</x:v>
      </x:c>
    </x:row>
    <x:row r="349" ht="19" customHeight="1">
      <x:c r="A349" s="25" t="str">
        <x:v>Missing</x:v>
      </x:c>
      <x:c r="B349" s="28" t="n">
        <x:v>24719</x:v>
      </x:c>
      <x:c r="C349" s="25" t="n">
        <x:v>2594</x:v>
      </x:c>
      <x:c r="D349" s="25" t="n">
        <x:v>22125</x:v>
      </x:c>
      <x:c r="E349" s="25" t="n">
        <x:v>0.1315439792863789</x:v>
      </x:c>
      <x:c r="F349" s="25" t="n">
        <x:v>0.17563039431375868</x:v>
      </x:c>
      <x:c r="G349" s="25" t="n">
        <x:v>-0.2890405156235324</x:v>
      </x:c>
      <x:c r="H349" s="25" t="n">
        <x:v>0.0127427601315069</x:v>
      </x:c>
      <x:c r="I349" s="30" t="n">
        <x:v>0.10493952020712811</x:v>
      </x:c>
      <x:c r="J349" s="25" t="str">
        <x:v>AMT_REQ_CREDIT_BUREAU_DAY</x:v>
      </x:c>
      <x:c r="K349" s="25" t="str">
        <x:v>Missing</x:v>
      </x:c>
      <x:c r="L349" s="35" t="b">
        <x:v>0</x:v>
      </x:c>
    </x:row>
    <x:row r="350" ht="19" customHeight="1">
      <x:c r="A350" s="25" t="str">
        <x:v>Modal</x:v>
      </x:c>
      <x:c r="B350" s="28" t="n">
        <x:v>157370</x:v>
      </x:c>
      <x:c r="C350" s="25" t="n">
        <x:v>12096</x:v>
      </x:c>
      <x:c r="D350" s="25" t="n">
        <x:v>145274</x:v>
      </x:c>
      <x:c r="E350" s="25" t="n">
        <x:v>0.8637086537632619</x:v>
      </x:c>
      <x:c r="F350" s="25" t="n">
        <x:v>0.8188525977322728</x:v>
      </x:c>
      <x:c r="G350" s="25" t="n">
        <x:v>0.053331416338558944</x:v>
      </x:c>
      <x:c r="H350" s="25" t="n">
        <x:v>0.0023922369994944064</x:v>
      </x:c>
      <x:c r="I350" s="30" t="n">
        <x:v>0.07686344284171062</x:v>
      </x:c>
      <x:c r="J350" s="25" t="str">
        <x:v>AMT_REQ_CREDIT_BUREAU_DAY</x:v>
      </x:c>
      <x:c r="K350" s="25" t="str">
        <x:v>value = 0.0</x:v>
      </x:c>
      <x:c r="L350" s="35" t="b">
        <x:v>0</x:v>
      </x:c>
    </x:row>
    <x:row r="351" ht="19" customHeight="1">
      <x:c r="A351" s="25" t="str">
        <x:v>Other</x:v>
      </x:c>
      <x:c r="B351" s="28" t="n">
        <x:v>879</x:v>
      </x:c>
      <x:c r="C351" s="25" t="n">
        <x:v>81</x:v>
      </x:c>
      <x:c r="D351" s="25" t="n">
        <x:v>798</x:v>
      </x:c>
      <x:c r="E351" s="25" t="n">
        <x:v>0.004747366950359248</x:v>
      </x:c>
      <x:c r="F351" s="25" t="n">
        <x:v>0.005517007953968522</x:v>
      </x:c>
      <x:c r="G351" s="25" t="n">
        <x:v>-0.15024553789832407</x:v>
      </x:c>
      <x:c r="H351" s="25" t="n">
        <x:v>0.00011563512657588135</x:v>
      </x:c>
      <x:c r="I351" s="30" t="n">
        <x:v>0.09215017064846416</x:v>
      </x:c>
      <x:c r="J351" s="25" t="str">
        <x:v>AMT_REQ_CREDIT_BUREAU_DAY</x:v>
      </x:c>
      <x:c r="K351" s="25" t="str">
        <x:v>value != 0.0</x:v>
      </x:c>
      <x:c r="L351" s="35" t="b">
        <x:v>0</x:v>
      </x:c>
    </x:row>
    <x:row r="352" ht="19" customHeight="1">
      <x:c r="A352" s="25" t="n">
        <x:v>0</x:v>
      </x:c>
      <x:c r="B352" s="28" t="n">
        <x:v>158249</x:v>
      </x:c>
      <x:c r="C352" s="25" t="n">
        <x:v>12177</x:v>
      </x:c>
      <x:c r="D352" s="25" t="n">
        <x:v>146072</x:v>
      </x:c>
      <x:c r="E352" s="25" t="n">
        <x:v>0.8684556296745503</x:v>
      </x:c>
      <x:c r="F352" s="25" t="n">
        <x:v>0.8243636609802328</x:v>
      </x:c>
      <x:c r="G352" s="25" t="n">
        <x:v>0.05210472722809131</x:v>
      </x:c>
      <x:c r="H352" s="25" t="n">
        <x:v>0.0022974000017669505</x:v>
      </x:c>
      <x:c r="I352" s="30" t="n">
        <x:v>0.07694835354409822</x:v>
      </x:c>
      <x:c r="J352" s="25" t="str">
        <x:v>AMT_REQ_CREDIT_BUREAU_WEEK__MISSING</x:v>
      </x:c>
      <x:c r="K352" s="25" t="n">
        <x:v>0</x:v>
      </x:c>
      <x:c r="L352" s="35" t="b">
        <x:v>0</x:v>
      </x:c>
    </x:row>
    <x:row r="353" ht="19" customHeight="1">
      <x:c r="A353" s="25" t="n">
        <x:v>1</x:v>
      </x:c>
      <x:c r="B353" s="28" t="n">
        <x:v>24719</x:v>
      </x:c>
      <x:c r="C353" s="25" t="n">
        <x:v>2594</x:v>
      </x:c>
      <x:c r="D353" s="25" t="n">
        <x:v>22125</x:v>
      </x:c>
      <x:c r="E353" s="25" t="n">
        <x:v>0.13154437032544977</x:v>
      </x:c>
      <x:c r="F353" s="25" t="n">
        <x:v>0.17563633901976713</x:v>
      </x:c>
      <x:c r="G353" s="25" t="n">
        <x:v>-0.2890713901883743</x:v>
      </x:c>
      <x:c r="H353" s="25" t="n">
        <x:v>0.012745726686608599</x:v>
      </x:c>
      <x:c r="I353" s="30" t="n">
        <x:v>0.10493952020712811</x:v>
      </x:c>
      <x:c r="J353" s="25" t="str">
        <x:v>AMT_REQ_CREDIT_BUREAU_WEEK__MISSING</x:v>
      </x:c>
      <x:c r="K353" s="25" t="n">
        <x:v>1</x:v>
      </x:c>
      <x:c r="L353" s="35" t="b">
        <x:v>0</x:v>
      </x:c>
    </x:row>
    <x:row r="354" ht="19" customHeight="1">
      <x:c r="A354" s="25" t="str">
        <x:v>Missing</x:v>
      </x:c>
      <x:c r="B354" s="28" t="n">
        <x:v>24719</x:v>
      </x:c>
      <x:c r="C354" s="25" t="n">
        <x:v>2594</x:v>
      </x:c>
      <x:c r="D354" s="25" t="n">
        <x:v>22125</x:v>
      </x:c>
      <x:c r="E354" s="25" t="n">
        <x:v>0.1315439792863789</x:v>
      </x:c>
      <x:c r="F354" s="25" t="n">
        <x:v>0.17563039431375868</x:v>
      </x:c>
      <x:c r="G354" s="25" t="n">
        <x:v>-0.2890405156235324</x:v>
      </x:c>
      <x:c r="H354" s="25" t="n">
        <x:v>0.0127427601315069</x:v>
      </x:c>
      <x:c r="I354" s="30" t="n">
        <x:v>0.10493952020712811</x:v>
      </x:c>
      <x:c r="J354" s="25" t="str">
        <x:v>AMT_REQ_CREDIT_BUREAU_WEEK</x:v>
      </x:c>
      <x:c r="K354" s="25" t="str">
        <x:v>Missing</x:v>
      </x:c>
      <x:c r="L354" s="35" t="b">
        <x:v>0</x:v>
      </x:c>
    </x:row>
    <x:row r="355" ht="19" customHeight="1">
      <x:c r="A355" s="25" t="str">
        <x:v>Modal</x:v>
      </x:c>
      <x:c r="B355" s="28" t="n">
        <x:v>153211</x:v>
      </x:c>
      <x:c r="C355" s="25" t="n">
        <x:v>11781</x:v>
      </x:c>
      <x:c r="D355" s="25" t="n">
        <x:v>141430</x:v>
      </x:c>
      <x:c r="E355" s="25" t="n">
        <x:v>0.8408547044117516</x:v>
      </x:c>
      <x:c r="F355" s="25" t="n">
        <x:v>0.7975291927568117</x:v>
      </x:c>
      <x:c r="G355" s="25" t="n">
        <x:v>0.05290044045511905</x:v>
      </x:c>
      <x:c r="H355" s="25" t="n">
        <x:v>0.0022919386494897154</x:v>
      </x:c>
      <x:c r="I355" s="30" t="n">
        <x:v>0.07689395670023692</x:v>
      </x:c>
      <x:c r="J355" s="25" t="str">
        <x:v>AMT_REQ_CREDIT_BUREAU_WEEK</x:v>
      </x:c>
      <x:c r="K355" s="25" t="str">
        <x:v>value = 0.0</x:v>
      </x:c>
      <x:c r="L355" s="35" t="b">
        <x:v>0</x:v>
      </x:c>
    </x:row>
    <x:row r="356" ht="19" customHeight="1">
      <x:c r="A356" s="25" t="str">
        <x:v>Other</x:v>
      </x:c>
      <x:c r="B356" s="28" t="n">
        <x:v>5038</x:v>
      </x:c>
      <x:c r="C356" s="25" t="n">
        <x:v>396</x:v>
      </x:c>
      <x:c r="D356" s="25" t="n">
        <x:v>4642</x:v>
      </x:c>
      <x:c r="E356" s="25" t="n">
        <x:v>0.027601316301869516</x:v>
      </x:c>
      <x:c r="F356" s="25" t="n">
        <x:v>0.026840412929429684</x:v>
      </x:c>
      <x:c r="G356" s="25" t="n">
        <x:v>0.027954766845383873</x:v>
      </x:c>
      <x:c r="H356" s="25" t="n">
        <x:v>0.000021270876368421813</x:v>
      </x:c>
      <x:c r="I356" s="30" t="n">
        <x:v>0.07860262008733625</x:v>
      </x:c>
      <x:c r="J356" s="25" t="str">
        <x:v>AMT_REQ_CREDIT_BUREAU_WEEK</x:v>
      </x:c>
      <x:c r="K356" s="25" t="str">
        <x:v>value != 0.0</x:v>
      </x:c>
      <x:c r="L356" s="35" t="b">
        <x:v>0</x:v>
      </x:c>
    </x:row>
    <x:row r="357" ht="19" customHeight="1">
      <x:c r="A357" s="25" t="n">
        <x:v>0</x:v>
      </x:c>
      <x:c r="B357" s="28" t="n">
        <x:v>158249</x:v>
      </x:c>
      <x:c r="C357" s="25" t="n">
        <x:v>12177</x:v>
      </x:c>
      <x:c r="D357" s="25" t="n">
        <x:v>146072</x:v>
      </x:c>
      <x:c r="E357" s="25" t="n">
        <x:v>0.8684556296745503</x:v>
      </x:c>
      <x:c r="F357" s="25" t="n">
        <x:v>0.8243636609802328</x:v>
      </x:c>
      <x:c r="G357" s="25" t="n">
        <x:v>0.05210472722809131</x:v>
      </x:c>
      <x:c r="H357" s="25" t="n">
        <x:v>0.0022974000017669505</x:v>
      </x:c>
      <x:c r="I357" s="30" t="n">
        <x:v>0.07694835354409822</x:v>
      </x:c>
      <x:c r="J357" s="25" t="str">
        <x:v>AMT_REQ_CREDIT_BUREAU_MON__MISSING</x:v>
      </x:c>
      <x:c r="K357" s="25" t="n">
        <x:v>0</x:v>
      </x:c>
      <x:c r="L357" s="35" t="b">
        <x:v>0</x:v>
      </x:c>
    </x:row>
    <x:row r="358" ht="19" customHeight="1">
      <x:c r="A358" s="25" t="n">
        <x:v>1</x:v>
      </x:c>
      <x:c r="B358" s="28" t="n">
        <x:v>24719</x:v>
      </x:c>
      <x:c r="C358" s="25" t="n">
        <x:v>2594</x:v>
      </x:c>
      <x:c r="D358" s="25" t="n">
        <x:v>22125</x:v>
      </x:c>
      <x:c r="E358" s="25" t="n">
        <x:v>0.13154437032544977</x:v>
      </x:c>
      <x:c r="F358" s="25" t="n">
        <x:v>0.17563633901976713</x:v>
      </x:c>
      <x:c r="G358" s="25" t="n">
        <x:v>-0.2890713901883743</x:v>
      </x:c>
      <x:c r="H358" s="25" t="n">
        <x:v>0.012745726686608599</x:v>
      </x:c>
      <x:c r="I358" s="30" t="n">
        <x:v>0.10493952020712811</x:v>
      </x:c>
      <x:c r="J358" s="25" t="str">
        <x:v>AMT_REQ_CREDIT_BUREAU_MON__MISSING</x:v>
      </x:c>
      <x:c r="K358" s="25" t="n">
        <x:v>1</x:v>
      </x:c>
      <x:c r="L358" s="35" t="b">
        <x:v>0</x:v>
      </x:c>
    </x:row>
    <x:row r="359" ht="19" customHeight="1">
      <x:c r="A359" s="25" t="str">
        <x:v>Missing</x:v>
      </x:c>
      <x:c r="B359" s="28" t="n">
        <x:v>24719</x:v>
      </x:c>
      <x:c r="C359" s="25" t="n">
        <x:v>2594</x:v>
      </x:c>
      <x:c r="D359" s="25" t="n">
        <x:v>22125</x:v>
      </x:c>
      <x:c r="E359" s="25" t="n">
        <x:v>0.1315439792863789</x:v>
      </x:c>
      <x:c r="F359" s="25" t="n">
        <x:v>0.17563039431375868</x:v>
      </x:c>
      <x:c r="G359" s="25" t="n">
        <x:v>-0.2890405156235324</x:v>
      </x:c>
      <x:c r="H359" s="25" t="n">
        <x:v>0.0127427601315069</x:v>
      </x:c>
      <x:c r="I359" s="30" t="n">
        <x:v>0.10493952020712811</x:v>
      </x:c>
      <x:c r="J359" s="25" t="str">
        <x:v>AMT_REQ_CREDIT_BUREAU_MON</x:v>
      </x:c>
      <x:c r="K359" s="25" t="str">
        <x:v>Missing</x:v>
      </x:c>
      <x:c r="L359" s="35" t="b">
        <x:v>0</x:v>
      </x:c>
    </x:row>
    <x:row r="360" ht="19" customHeight="1">
      <x:c r="A360" s="25" t="str">
        <x:v>Modal</x:v>
      </x:c>
      <x:c r="B360" s="28" t="n">
        <x:v>132365</x:v>
      </x:c>
      <x:c r="C360" s="25" t="n">
        <x:v>10234</x:v>
      </x:c>
      <x:c r="D360" s="25" t="n">
        <x:v>122131</x:v>
      </x:c>
      <x:c r="E360" s="25" t="n">
        <x:v>0.7261152745119606</x:v>
      </x:c>
      <x:c r="F360" s="25" t="n">
        <x:v>0.6928075816551024</x:v>
      </x:c>
      <x:c r="G360" s="25" t="n">
        <x:v>0.04695648185414498</x:v>
      </x:c>
      <x:c r="H360" s="25" t="n">
        <x:v>0.0015640120752364961</x:v>
      </x:c>
      <x:c r="I360" s="30" t="n">
        <x:v>0.07731651116231632</x:v>
      </x:c>
      <x:c r="J360" s="25" t="str">
        <x:v>AMT_REQ_CREDIT_BUREAU_MON</x:v>
      </x:c>
      <x:c r="K360" s="25" t="str">
        <x:v>value = 0.0</x:v>
      </x:c>
      <x:c r="L360" s="35" t="b">
        <x:v>0</x:v>
      </x:c>
    </x:row>
    <x:row r="361" ht="19" customHeight="1">
      <x:c r="A361" s="25" t="str">
        <x:v>Other</x:v>
      </x:c>
      <x:c r="B361" s="28" t="n">
        <x:v>25884</x:v>
      </x:c>
      <x:c r="C361" s="25" t="n">
        <x:v>1943</x:v>
      </x:c>
      <x:c r="D361" s="25" t="n">
        <x:v>23941</x:v>
      </x:c>
      <x:c r="E361" s="25" t="n">
        <x:v>0.14234074620166054</x:v>
      </x:c>
      <x:c r="F361" s="25" t="n">
        <x:v>0.13156202403113895</x:v>
      </x:c>
      <x:c r="G361" s="25" t="n">
        <x:v>0.07874539819187057</x:v>
      </x:c>
      <x:c r="H361" s="25" t="n">
        <x:v>0.0008487747693172659</x:v>
      </x:c>
      <x:c r="I361" s="30" t="n">
        <x:v>0.07506567763869572</x:v>
      </x:c>
      <x:c r="J361" s="25" t="str">
        <x:v>AMT_REQ_CREDIT_BUREAU_MON</x:v>
      </x:c>
      <x:c r="K361" s="25" t="str">
        <x:v>value != 0.0</x:v>
      </x:c>
      <x:c r="L361" s="35" t="b">
        <x:v>0</x:v>
      </x:c>
    </x:row>
    <x:row r="362" ht="19" customHeight="1">
      <x:c r="A362" s="25" t="n">
        <x:v>0</x:v>
      </x:c>
      <x:c r="B362" s="28" t="n">
        <x:v>158249</x:v>
      </x:c>
      <x:c r="C362" s="25" t="n">
        <x:v>12177</x:v>
      </x:c>
      <x:c r="D362" s="25" t="n">
        <x:v>146072</x:v>
      </x:c>
      <x:c r="E362" s="25" t="n">
        <x:v>0.8684556296745503</x:v>
      </x:c>
      <x:c r="F362" s="25" t="n">
        <x:v>0.8243636609802328</x:v>
      </x:c>
      <x:c r="G362" s="25" t="n">
        <x:v>0.05210472722809131</x:v>
      </x:c>
      <x:c r="H362" s="25" t="n">
        <x:v>0.0022974000017669505</x:v>
      </x:c>
      <x:c r="I362" s="30" t="n">
        <x:v>0.07694835354409822</x:v>
      </x:c>
      <x:c r="J362" s="25" t="str">
        <x:v>AMT_REQ_CREDIT_BUREAU_QRT__MISSING</x:v>
      </x:c>
      <x:c r="K362" s="25" t="n">
        <x:v>0</x:v>
      </x:c>
      <x:c r="L362" s="35" t="b">
        <x:v>0</x:v>
      </x:c>
    </x:row>
    <x:row r="363" ht="19" customHeight="1">
      <x:c r="A363" s="25" t="n">
        <x:v>1</x:v>
      </x:c>
      <x:c r="B363" s="28" t="n">
        <x:v>24719</x:v>
      </x:c>
      <x:c r="C363" s="25" t="n">
        <x:v>2594</x:v>
      </x:c>
      <x:c r="D363" s="25" t="n">
        <x:v>22125</x:v>
      </x:c>
      <x:c r="E363" s="25" t="n">
        <x:v>0.13154437032544977</x:v>
      </x:c>
      <x:c r="F363" s="25" t="n">
        <x:v>0.17563633901976713</x:v>
      </x:c>
      <x:c r="G363" s="25" t="n">
        <x:v>-0.2890713901883743</x:v>
      </x:c>
      <x:c r="H363" s="25" t="n">
        <x:v>0.012745726686608599</x:v>
      </x:c>
      <x:c r="I363" s="30" t="n">
        <x:v>0.10493952020712811</x:v>
      </x:c>
      <x:c r="J363" s="25" t="str">
        <x:v>AMT_REQ_CREDIT_BUREAU_QRT__MISSING</x:v>
      </x:c>
      <x:c r="K363" s="25" t="n">
        <x:v>1</x:v>
      </x:c>
      <x:c r="L363" s="35" t="b">
        <x:v>0</x:v>
      </x:c>
    </x:row>
    <x:row r="364" ht="19" customHeight="1">
      <x:c r="A364" s="25" t="str">
        <x:v>Missing</x:v>
      </x:c>
      <x:c r="B364" s="28" t="n">
        <x:v>24719</x:v>
      </x:c>
      <x:c r="C364" s="25" t="n">
        <x:v>2594</x:v>
      </x:c>
      <x:c r="D364" s="25" t="n">
        <x:v>22125</x:v>
      </x:c>
      <x:c r="E364" s="25" t="n">
        <x:v>0.1315439792863789</x:v>
      </x:c>
      <x:c r="F364" s="25" t="n">
        <x:v>0.17563039431375868</x:v>
      </x:c>
      <x:c r="G364" s="25" t="n">
        <x:v>-0.2890405156235324</x:v>
      </x:c>
      <x:c r="H364" s="25" t="n">
        <x:v>0.0127427601315069</x:v>
      </x:c>
      <x:c r="I364" s="30" t="n">
        <x:v>0.10493952020712811</x:v>
      </x:c>
      <x:c r="J364" s="25" t="str">
        <x:v>AMT_REQ_CREDIT_BUREAU_QRT</x:v>
      </x:c>
      <x:c r="K364" s="25" t="str">
        <x:v>Missing</x:v>
      </x:c>
      <x:c r="L364" s="35" t="b">
        <x:v>0</x:v>
      </x:c>
    </x:row>
    <x:row r="365" ht="19" customHeight="1">
      <x:c r="A365" s="25" t="str">
        <x:v>Modal</x:v>
      </x:c>
      <x:c r="B365" s="28" t="n">
        <x:v>128344</x:v>
      </x:c>
      <x:c r="C365" s="25" t="n">
        <x:v>10049</x:v>
      </x:c>
      <x:c r="D365" s="25" t="n">
        <x:v>118295</x:v>
      </x:c>
      <x:c r="E365" s="25" t="n">
        <x:v>0.7033088880102973</x:v>
      </x:c>
      <x:c r="F365" s="25" t="n">
        <x:v>0.6802843120663394</x:v>
      </x:c>
      <x:c r="G365" s="25" t="n">
        <x:v>0.033285364046408035</x:v>
      </x:c>
      <x:c r="H365" s="25" t="n">
        <x:v>0.0007663813923088077</x:v>
      </x:c>
      <x:c r="I365" s="30" t="n">
        <x:v>0.07829738826902699</x:v>
      </x:c>
      <x:c r="J365" s="25" t="str">
        <x:v>AMT_REQ_CREDIT_BUREAU_QRT</x:v>
      </x:c>
      <x:c r="K365" s="25" t="str">
        <x:v>value = 0.0</x:v>
      </x:c>
      <x:c r="L365" s="35" t="b">
        <x:v>0</x:v>
      </x:c>
    </x:row>
    <x:row r="366" ht="19" customHeight="1">
      <x:c r="A366" s="25" t="str">
        <x:v>Other</x:v>
      </x:c>
      <x:c r="B366" s="28" t="n">
        <x:v>29905</x:v>
      </x:c>
      <x:c r="C366" s="25" t="n">
        <x:v>2128</x:v>
      </x:c>
      <x:c r="D366" s="25" t="n">
        <x:v>27777</x:v>
      </x:c>
      <x:c r="E366" s="25" t="n">
        <x:v>0.16514713270332376</x:v>
      </x:c>
      <x:c r="F366" s="25" t="n">
        <x:v>0.14408529361990186</x:v>
      </x:c>
      <x:c r="G366" s="25" t="n">
        <x:v>0.13643134888338246</x:v>
      </x:c>
      <x:c r="H366" s="25" t="n">
        <x:v>0.0028734951161159946</x:v>
      </x:c>
      <x:c r="I366" s="30" t="n">
        <x:v>0.07115866911887644</x:v>
      </x:c>
      <x:c r="J366" s="25" t="str">
        <x:v>AMT_REQ_CREDIT_BUREAU_QRT</x:v>
      </x:c>
      <x:c r="K366" s="25" t="str">
        <x:v>value != 0.0</x:v>
      </x:c>
      <x:c r="L366" s="35" t="b">
        <x:v>0</x:v>
      </x:c>
    </x:row>
    <x:row r="367" ht="19" customHeight="1">
      <x:c r="A367" s="25" t="n">
        <x:v>0</x:v>
      </x:c>
      <x:c r="B367" s="28" t="n">
        <x:v>158249</x:v>
      </x:c>
      <x:c r="C367" s="25" t="n">
        <x:v>12177</x:v>
      </x:c>
      <x:c r="D367" s="25" t="n">
        <x:v>146072</x:v>
      </x:c>
      <x:c r="E367" s="25" t="n">
        <x:v>0.8684556296745503</x:v>
      </x:c>
      <x:c r="F367" s="25" t="n">
        <x:v>0.8243636609802328</x:v>
      </x:c>
      <x:c r="G367" s="25" t="n">
        <x:v>0.05210472722809131</x:v>
      </x:c>
      <x:c r="H367" s="25" t="n">
        <x:v>0.0022974000017669505</x:v>
      </x:c>
      <x:c r="I367" s="30" t="n">
        <x:v>0.07694835354409822</x:v>
      </x:c>
      <x:c r="J367" s="25" t="str">
        <x:v>AMT_REQ_CREDIT_BUREAU_YEAR__MISSING</x:v>
      </x:c>
      <x:c r="K367" s="25" t="n">
        <x:v>0</x:v>
      </x:c>
      <x:c r="L367" s="35" t="b">
        <x:v>0</x:v>
      </x:c>
    </x:row>
    <x:row r="368" ht="19" customHeight="1">
      <x:c r="A368" s="25" t="n">
        <x:v>1</x:v>
      </x:c>
      <x:c r="B368" s="28" t="n">
        <x:v>24719</x:v>
      </x:c>
      <x:c r="C368" s="25" t="n">
        <x:v>2594</x:v>
      </x:c>
      <x:c r="D368" s="25" t="n">
        <x:v>22125</x:v>
      </x:c>
      <x:c r="E368" s="25" t="n">
        <x:v>0.13154437032544977</x:v>
      </x:c>
      <x:c r="F368" s="25" t="n">
        <x:v>0.17563633901976713</x:v>
      </x:c>
      <x:c r="G368" s="25" t="n">
        <x:v>-0.2890713901883743</x:v>
      </x:c>
      <x:c r="H368" s="25" t="n">
        <x:v>0.012745726686608599</x:v>
      </x:c>
      <x:c r="I368" s="30" t="n">
        <x:v>0.10493952020712811</x:v>
      </x:c>
      <x:c r="J368" s="25" t="str">
        <x:v>AMT_REQ_CREDIT_BUREAU_YEAR__MISSING</x:v>
      </x:c>
      <x:c r="K368" s="25" t="n">
        <x:v>1</x:v>
      </x:c>
      <x:c r="L368" s="35" t="b">
        <x:v>0</x:v>
      </x:c>
    </x:row>
    <x:row r="369" ht="19" customHeight="1">
      <x:c r="A369" s="25" t="str">
        <x:v>B0</x:v>
      </x:c>
      <x:c r="B369" s="28" t="n">
        <x:v>80439</x:v>
      </x:c>
      <x:c r="C369" s="25" t="n">
        <x:v>5806</x:v>
      </x:c>
      <x:c r="D369" s="25" t="n">
        <x:v>74633</x:v>
      </x:c>
      <x:c r="E369" s="25" t="n">
        <x:v>0.443720106183431</x:v>
      </x:c>
      <x:c r="F369" s="25" t="n">
        <x:v>0.39303482587064675</x:v>
      </x:c>
      <x:c r="G369" s="25" t="n">
        <x:v>0.12129574878313076</x:v>
      </x:c>
      <x:c r="H369" s="25" t="n">
        <x:v>0.006147909027822041</x:v>
      </x:c>
      <x:c r="I369" s="30" t="n">
        <x:v>0.07217891818645185</x:v>
      </x:c>
      <x:c r="J369" s="25" t="str">
        <x:v>AMT_REQ_CREDIT_BUREAU_YEAR</x:v>
      </x:c>
      <x:c r="K369" s="25" t="str">
        <x:v>(-inf, 1]</x:v>
      </x:c>
      <x:c r="L369" s="35" t="b">
        <x:v>0</x:v>
      </x:c>
    </x:row>
    <x:row r="370" ht="19" customHeight="1">
      <x:c r="A370" s="25" t="str">
        <x:v>B1</x:v>
      </x:c>
      <x:c r="B370" s="28" t="n">
        <x:v>29697</x:v>
      </x:c>
      <x:c r="C370" s="25" t="n">
        <x:v>2405</x:v>
      </x:c>
      <x:c r="D370" s="25" t="n">
        <x:v>27292</x:v>
      </x:c>
      <x:c r="E370" s="25" t="n">
        <x:v>0.16226267022196855</x:v>
      </x:c>
      <x:c r="F370" s="25" t="n">
        <x:v>0.16282532913662978</x:v>
      </x:c>
      <x:c r="G370" s="25" t="n">
        <x:v>-0.0034615825721783355</x:v>
      </x:c>
      <x:c r="H370" s="25" t="n">
        <x:v>0.0000019476902930720887</x:v>
      </x:c>
      <x:c r="I370" s="30" t="n">
        <x:v>0.08098461124019261</x:v>
      </x:c>
      <x:c r="J370" s="25" t="str">
        <x:v>AMT_REQ_CREDIT_BUREAU_YEAR</x:v>
      </x:c>
      <x:c r="K370" s="25" t="str">
        <x:v>(1, 2]</x:v>
      </x:c>
      <x:c r="L370" s="35" t="b">
        <x:v>0</x:v>
      </x:c>
    </x:row>
    <x:row r="371" ht="19" customHeight="1">
      <x:c r="A371" s="25" t="str">
        <x:v>B2</x:v>
      </x:c>
      <x:c r="B371" s="28" t="n">
        <x:v>20106</x:v>
      </x:c>
      <x:c r="C371" s="25" t="n">
        <x:v>1612</x:v>
      </x:c>
      <x:c r="D371" s="25" t="n">
        <x:v>18494</x:v>
      </x:c>
      <x:c r="E371" s="25" t="n">
        <x:v>0.10995573708601987</x:v>
      </x:c>
      <x:c r="F371" s="25" t="n">
        <x:v>0.10914813686668698</x:v>
      </x:c>
      <x:c r="G371" s="25" t="n">
        <x:v>0.007371881310494417</x:v>
      </x:c>
      <x:c r="H371" s="25" t="n">
        <x:v>0.000005953532963251329</x:v>
      </x:c>
      <x:c r="I371" s="30" t="n">
        <x:v>0.08017507211777579</x:v>
      </x:c>
      <x:c r="J371" s="25" t="str">
        <x:v>AMT_REQ_CREDIT_BUREAU_YEAR</x:v>
      </x:c>
      <x:c r="K371" s="25" t="str">
        <x:v>(2, 3]</x:v>
      </x:c>
      <x:c r="L371" s="35" t="b">
        <x:v>0</x:v>
      </x:c>
    </x:row>
    <x:row r="372" ht="19" customHeight="1">
      <x:c r="A372" s="25" t="str">
        <x:v>B3</x:v>
      </x:c>
      <x:c r="B372" s="28" t="n">
        <x:v>28007</x:v>
      </x:c>
      <x:c r="C372" s="25" t="n">
        <x:v>2354</x:v>
      </x:c>
      <x:c r="D372" s="25" t="n">
        <x:v>25653</x:v>
      </x:c>
      <x:c r="E372" s="25" t="n">
        <x:v>0.15251828929336889</x:v>
      </x:c>
      <x:c r="F372" s="25" t="n">
        <x:v>0.15937320201712527</x:v>
      </x:c>
      <x:c r="G372" s="25" t="n">
        <x:v>-0.04396411573883314</x:v>
      </x:c>
      <x:c r="H372" s="25" t="n">
        <x:v>0.00030137017636682536</x:v>
      </x:c>
      <x:c r="I372" s="30" t="n">
        <x:v>0.08405041596743672</x:v>
      </x:c>
      <x:c r="J372" s="25" t="str">
        <x:v>AMT_REQ_CREDIT_BUREAU_YEAR</x:v>
      </x:c>
      <x:c r="K372" s="25" t="str">
        <x:v>(3, inf]</x:v>
      </x:c>
      <x:c r="L372" s="35" t="b">
        <x:v>0</x:v>
      </x:c>
    </x:row>
    <x:row r="373" ht="19" customHeight="1">
      <x:c r="A373" s="25" t="str">
        <x:v>Missing</x:v>
      </x:c>
      <x:c r="B373" s="28" t="n">
        <x:v>24719</x:v>
      </x:c>
      <x:c r="C373" s="25" t="n">
        <x:v>2594</x:v>
      </x:c>
      <x:c r="D373" s="25" t="n">
        <x:v>22125</x:v>
      </x:c>
      <x:c r="E373" s="25" t="n">
        <x:v>0.1315431972152117</x:v>
      </x:c>
      <x:c r="F373" s="25" t="n">
        <x:v>0.17561850610891122</x:v>
      </x:c>
      <x:c r="G373" s="25" t="n">
        <x:v>-0.28897876990405247</x:v>
      </x:c>
      <x:c r="H373" s="25" t="n">
        <x:v>0.012736828547242429</x:v>
      </x:c>
      <x:c r="I373" s="30" t="n">
        <x:v>0.10493952020712811</x:v>
      </x:c>
      <x:c r="J373" s="25" t="str">
        <x:v>AMT_REQ_CREDIT_BUREAU_YEAR</x:v>
      </x:c>
      <x:c r="K373" s="25" t="str">
        <x:v>Missing</x:v>
      </x:c>
      <x:c r="L373" s="35" t="b">
        <x:v>0</x:v>
      </x:c>
    </x:row>
    <x:row r="374" ht="19" customHeight="1">
      <x:c r="A374" s="25" t="n">
        <x:v>0</x:v>
      </x:c>
      <x:c r="B374" s="28" t="n">
        <x:v>150032</x:v>
      </x:c>
      <x:c r="C374" s="25" t="n">
        <x:v>13005</x:v>
      </x:c>
      <x:c r="D374" s="25" t="n">
        <x:v>137027</x:v>
      </x:c>
      <x:c r="E374" s="25" t="n">
        <x:v>0.8146797227077611</x:v>
      </x:c>
      <x:c r="F374" s="25" t="n">
        <x:v>0.8804156512320607</x:v>
      </x:c>
      <x:c r="G374" s="25" t="n">
        <x:v>-0.0775990691726472</x:v>
      </x:c>
      <x:c r="H374" s="25" t="n">
        <x:v>0.005101046864685313</x:v>
      </x:c>
      <x:c r="I374" s="30" t="n">
        <x:v>0.08668150794497174</x:v>
      </x:c>
      <x:c r="J374" s="25" t="str">
        <x:v>EMPLOYED_SENTINEL</x:v>
      </x:c>
      <x:c r="K374" s="25" t="n">
        <x:v>0</x:v>
      </x:c>
      <x:c r="L374" s="35" t="b">
        <x:v>0</x:v>
      </x:c>
    </x:row>
    <x:row r="375" ht="19" customHeight="1">
      <x:c r="A375" s="25" t="n">
        <x:v>1</x:v>
      </x:c>
      <x:c r="B375" s="28" t="n">
        <x:v>32936</x:v>
      </x:c>
      <x:c r="C375" s="25" t="n">
        <x:v>1766</x:v>
      </x:c>
      <x:c r="D375" s="25" t="n">
        <x:v>31170</x:v>
      </x:c>
      <x:c r="E375" s="25" t="n">
        <x:v>0.1853202772922389</x:v>
      </x:c>
      <x:c r="F375" s="25" t="n">
        <x:v>0.11958434876793934</x:v>
      </x:c>
      <x:c r="G375" s="25" t="n">
        <x:v>0.43806358702723697</x:v>
      </x:c>
      <x:c r="H375" s="25" t="n">
        <x:v>0.02879651664592073</x:v>
      </x:c>
      <x:c r="I375" s="30" t="n">
        <x:v>0.053619140150595095</x:v>
      </x:c>
      <x:c r="J375" s="25" t="str">
        <x:v>EMPLOYED_SENTINEL</x:v>
      </x:c>
      <x:c r="K375" s="25" t="n">
        <x:v>1</x:v>
      </x:c>
      <x:c r="L375" s="35" t="b">
        <x:v>0</x:v>
      </x:c>
    </x:row>
    <x:row r="376" ht="19" customHeight="1">
      <x:c r="A376" s="25" t="n">
        <x:v>0</x:v>
      </x:c>
      <x:c r="B376" s="28" t="n">
        <x:v>150032</x:v>
      </x:c>
      <x:c r="C376" s="25" t="n">
        <x:v>13005</x:v>
      </x:c>
      <x:c r="D376" s="25" t="n">
        <x:v>137027</x:v>
      </x:c>
      <x:c r="E376" s="25" t="n">
        <x:v>0.8146797227077611</x:v>
      </x:c>
      <x:c r="F376" s="25" t="n">
        <x:v>0.8804156512320607</x:v>
      </x:c>
      <x:c r="G376" s="25" t="n">
        <x:v>-0.0775990691726472</x:v>
      </x:c>
      <x:c r="H376" s="25" t="n">
        <x:v>0.005101046864685313</x:v>
      </x:c>
      <x:c r="I376" s="30" t="n">
        <x:v>0.08668150794497174</x:v>
      </x:c>
      <x:c r="J376" s="25" t="str">
        <x:v>EMPLOYMENT_YEARS__MISSING</x:v>
      </x:c>
      <x:c r="K376" s="25" t="n">
        <x:v>0</x:v>
      </x:c>
      <x:c r="L376" s="35" t="b">
        <x:v>0</x:v>
      </x:c>
    </x:row>
    <x:row r="377" ht="19" customHeight="1">
      <x:c r="A377" s="25" t="n">
        <x:v>1</x:v>
      </x:c>
      <x:c r="B377" s="28" t="n">
        <x:v>32936</x:v>
      </x:c>
      <x:c r="C377" s="25" t="n">
        <x:v>1766</x:v>
      </x:c>
      <x:c r="D377" s="25" t="n">
        <x:v>31170</x:v>
      </x:c>
      <x:c r="E377" s="25" t="n">
        <x:v>0.1853202772922389</x:v>
      </x:c>
      <x:c r="F377" s="25" t="n">
        <x:v>0.11958434876793934</x:v>
      </x:c>
      <x:c r="G377" s="25" t="n">
        <x:v>0.43806358702723697</x:v>
      </x:c>
      <x:c r="H377" s="25" t="n">
        <x:v>0.02879651664592073</x:v>
      </x:c>
      <x:c r="I377" s="30" t="n">
        <x:v>0.053619140150595095</x:v>
      </x:c>
      <x:c r="J377" s="25" t="str">
        <x:v>EMPLOYMENT_YEARS__MISSING</x:v>
      </x:c>
      <x:c r="K377" s="25" t="n">
        <x:v>1</x:v>
      </x:c>
      <x:c r="L377" s="35" t="b">
        <x:v>0</x:v>
      </x:c>
    </x:row>
    <x:row r="378" ht="19" customHeight="1">
      <x:c r="A378" s="25" t="str">
        <x:v>B0</x:v>
      </x:c>
      <x:c r="B378" s="28" t="n">
        <x:v>30041</x:v>
      </x:c>
      <x:c r="C378" s="25" t="n">
        <x:v>3422</x:v>
      </x:c>
      <x:c r="D378" s="25" t="n">
        <x:v>26619</x:v>
      </x:c>
      <x:c r="E378" s="25" t="n">
        <x:v>0.15826099881093936</x:v>
      </x:c>
      <x:c r="F378" s="25" t="n">
        <x:v>0.23165696493840532</x:v>
      </x:c>
      <x:c r="G378" s="25" t="n">
        <x:v>-0.38101211669222596</x:v>
      </x:c>
      <x:c r="H378" s="25" t="n">
        <x:v>0.027964752410896725</x:v>
      </x:c>
      <x:c r="I378" s="30" t="n">
        <x:v>0.11391098831596817</x:v>
      </x:c>
      <x:c r="J378" s="25" t="str">
        <x:v>EMPLOYMENT_YEARS</x:v>
      </x:c>
      <x:c r="K378" s="25" t="str">
        <x:v>(-inf, 1.686516]</x:v>
      </x:c>
      <x:c r="L378" s="35" t="b">
        <x:v>0</x:v>
      </x:c>
    </x:row>
    <x:row r="379" ht="19" customHeight="1">
      <x:c r="A379" s="25" t="str">
        <x:v>B1</x:v>
      </x:c>
      <x:c r="B379" s="28" t="n">
        <x:v>29991</x:v>
      </x:c>
      <x:c r="C379" s="25" t="n">
        <x:v>3180</x:v>
      </x:c>
      <x:c r="D379" s="25" t="n">
        <x:v>26811</x:v>
      </x:c>
      <x:c r="E379" s="25" t="n">
        <x:v>0.1594024970273484</x:v>
      </x:c>
      <x:c r="F379" s="25" t="n">
        <x:v>0.21527683768782996</x:v>
      </x:c>
      <x:c r="G379" s="25" t="n">
        <x:v>-0.3004923856135982</x:v>
      </x:c>
      <x:c r="H379" s="25" t="n">
        <x:v>0.01678981391965497</x:v>
      </x:c>
      <x:c r="I379" s="30" t="n">
        <x:v>0.10603180954286286</x:v>
      </x:c>
      <x:c r="J379" s="25" t="str">
        <x:v>EMPLOYMENT_YEARS</x:v>
      </x:c>
      <x:c r="K379" s="25" t="str">
        <x:v>(1.686516, 3.4277892]</x:v>
      </x:c>
      <x:c r="L379" s="35" t="b">
        <x:v>0</x:v>
      </x:c>
    </x:row>
    <x:row r="380" ht="19" customHeight="1">
      <x:c r="A380" s="25" t="str">
        <x:v>B2</x:v>
      </x:c>
      <x:c r="B380" s="28" t="n">
        <x:v>29988</x:v>
      </x:c>
      <x:c r="C380" s="25" t="n">
        <x:v>2669</x:v>
      </x:c>
      <x:c r="D380" s="25" t="n">
        <x:v>27319</x:v>
      </x:c>
      <x:c r="E380" s="25" t="n">
        <x:v>0.16242271105826397</x:v>
      </x:c>
      <x:c r="F380" s="25" t="n">
        <x:v>0.18068904832814403</x:v>
      </x:c>
      <x:c r="G380" s="25" t="n">
        <x:v>-0.10657532446583441</x:v>
      </x:c>
      <x:c r="H380" s="25" t="n">
        <x:v>0.001946740821339831</x:v>
      </x:c>
      <x:c r="I380" s="30" t="n">
        <x:v>0.08900226757369614</x:v>
      </x:c>
      <x:c r="J380" s="25" t="str">
        <x:v>EMPLOYMENT_YEARS</x:v>
      </x:c>
      <x:c r="K380" s="25" t="str">
        <x:v>(3.4277892, 5.9110198]</x:v>
      </x:c>
      <x:c r="L380" s="35" t="b">
        <x:v>0</x:v>
      </x:c>
    </x:row>
    <x:row r="381" ht="19" customHeight="1">
      <x:c r="A381" s="25" t="str">
        <x:v>B3</x:v>
      </x:c>
      <x:c r="B381" s="28" t="n">
        <x:v>30014</x:v>
      </x:c>
      <x:c r="C381" s="25" t="n">
        <x:v>2173</x:v>
      </x:c>
      <x:c r="D381" s="25" t="n">
        <x:v>27841</x:v>
      </x:c>
      <x:c r="E381" s="25" t="n">
        <x:v>0.16552615933412604</x:v>
      </x:c>
      <x:c r="F381" s="25" t="n">
        <x:v>0.1471165561120888</x:v>
      </x:c>
      <x:c r="G381" s="25" t="n">
        <x:v>0.11790407344611448</x:v>
      </x:c>
      <x:c r="H381" s="25" t="n">
        <x:v>0.0021705672104049053</x:v>
      </x:c>
      <x:c r="I381" s="30" t="n">
        <x:v>0.07239954687812354</x:v>
      </x:c>
      <x:c r="J381" s="25" t="str">
        <x:v>EMPLOYMENT_YEARS</x:v>
      </x:c>
      <x:c r="K381" s="25" t="str">
        <x:v>(5.9110198, 10.069816]</x:v>
      </x:c>
      <x:c r="L381" s="35" t="b">
        <x:v>0</x:v>
      </x:c>
    </x:row>
    <x:row r="382" ht="19" customHeight="1">
      <x:c r="A382" s="25" t="str">
        <x:v>B4</x:v>
      </x:c>
      <x:c r="B382" s="28" t="n">
        <x:v>29998</x:v>
      </x:c>
      <x:c r="C382" s="25" t="n">
        <x:v>1561</x:v>
      </x:c>
      <x:c r="D382" s="25" t="n">
        <x:v>28437</x:v>
      </x:c>
      <x:c r="E382" s="25" t="n">
        <x:v>0.16906956004756243</x:v>
      </x:c>
      <x:c r="F382" s="25" t="n">
        <x:v>0.10569243265195614</x:v>
      </x:c>
      <x:c r="G382" s="25" t="n">
        <x:v>0.46977693053787123</x:v>
      </x:c>
      <x:c r="H382" s="25" t="n">
        <x:v>0.029773112374215552</x:v>
      </x:c>
      <x:c r="I382" s="30" t="n">
        <x:v>0.0520368024534969</x:v>
      </x:c>
      <x:c r="J382" s="25" t="str">
        <x:v>EMPLOYMENT_YEARS</x:v>
      </x:c>
      <x:c r="K382" s="25" t="str">
        <x:v>(10.069816, inf]</x:v>
      </x:c>
      <x:c r="L382" s="35" t="b">
        <x:v>0</x:v>
      </x:c>
    </x:row>
    <x:row r="383" ht="19" customHeight="1">
      <x:c r="A383" s="25" t="str">
        <x:v>Missing</x:v>
      </x:c>
      <x:c r="B383" s="28" t="n">
        <x:v>32936</x:v>
      </x:c>
      <x:c r="C383" s="25" t="n">
        <x:v>1766</x:v>
      </x:c>
      <x:c r="D383" s="25" t="n">
        <x:v>31170</x:v>
      </x:c>
      <x:c r="E383" s="25" t="n">
        <x:v>0.18531807372175982</x:v>
      </x:c>
      <x:c r="F383" s="25" t="n">
        <x:v>0.11956816028157574</x:v>
      </x:c>
      <x:c r="G383" s="25" t="n">
        <x:v>0.43818707846635147</x:v>
      </x:c>
      <x:c r="H383" s="25" t="n">
        <x:v>0.028810762479769755</x:v>
      </x:c>
      <x:c r="I383" s="30" t="n">
        <x:v>0.053619140150595095</x:v>
      </x:c>
      <x:c r="J383" s="25" t="str">
        <x:v>EMPLOYMENT_YEARS</x:v>
      </x:c>
      <x:c r="K383" s="25" t="str">
        <x:v>Missing</x:v>
      </x:c>
      <x:c r="L383" s="35" t="b">
        <x:v>0</x:v>
      </x:c>
    </x:row>
    <x:row r="384" ht="19" customHeight="1">
      <x:c r="A384" s="25" t="str">
        <x:v>B0</x:v>
      </x:c>
      <x:c r="B384" s="28" t="n">
        <x:v>36635</x:v>
      </x:c>
      <x:c r="C384" s="25" t="n">
        <x:v>2700</x:v>
      </x:c>
      <x:c r="D384" s="25" t="n">
        <x:v>33935</x:v>
      </x:c>
      <x:c r="E384" s="25" t="n">
        <x:v>0.20175743685326056</x:v>
      </x:c>
      <x:c r="F384" s="25" t="n">
        <x:v>0.1827935154161167</x:v>
      </x:c>
      <x:c r="G384" s="25" t="n">
        <x:v>0.09870898345966383</x:v>
      </x:c>
      <x:c r="H384" s="25" t="n">
        <x:v>0.0018719094074693989</x:v>
      </x:c>
      <x:c r="I384" s="30" t="n">
        <x:v>0.07370001364815068</x:v>
      </x:c>
      <x:c r="J384" s="25" t="str">
        <x:v>CREDIT_INCOME_RATIO</x:v>
      </x:c>
      <x:c r="K384" s="25" t="str">
        <x:v>(-inf, 1.8168]</x:v>
      </x:c>
      <x:c r="L384" s="35" t="b">
        <x:v>0</x:v>
      </x:c>
    </x:row>
    <x:row r="385" ht="19" customHeight="1">
      <x:c r="A385" s="25" t="str">
        <x:v>B1</x:v>
      </x:c>
      <x:c r="B385" s="28" t="n">
        <x:v>36552</x:v>
      </x:c>
      <x:c r="C385" s="25" t="n">
        <x:v>3121</x:v>
      </x:c>
      <x:c r="D385" s="25" t="n">
        <x:v>33431</x:v>
      </x:c>
      <x:c r="E385" s="25" t="n">
        <x:v>0.19876099512780954</x:v>
      </x:c>
      <x:c r="F385" s="25" t="n">
        <x:v>0.21129048634379125</x:v>
      </x:c>
      <x:c r="G385" s="25" t="n">
        <x:v>-0.06113082580401605</x:v>
      </x:c>
      <x:c r="H385" s="25" t="n">
        <x:v>0.000765938144937127</x:v>
      </x:c>
      <x:c r="I385" s="30" t="n">
        <x:v>0.08538520463996498</x:v>
      </x:c>
      <x:c r="J385" s="25" t="str">
        <x:v>CREDIT_INCOME_RATIO</x:v>
      </x:c>
      <x:c r="K385" s="25" t="str">
        <x:v>(1.8168, 2.7585449]</x:v>
      </x:c>
      <x:c r="L385" s="35" t="b">
        <x:v>0</x:v>
      </x:c>
    </x:row>
    <x:row r="386" ht="19" customHeight="1">
      <x:c r="A386" s="25" t="str">
        <x:v>B2</x:v>
      </x:c>
      <x:c r="B386" s="28" t="n">
        <x:v>36600</x:v>
      </x:c>
      <x:c r="C386" s="25" t="n">
        <x:v>3273</x:v>
      </x:c>
      <x:c r="D386" s="25" t="n">
        <x:v>33327</x:v>
      </x:c>
      <x:c r="E386" s="25" t="n">
        <x:v>0.19814268175589106</x:v>
      </x:c>
      <x:c r="F386" s="25" t="n">
        <x:v>0.2215791789352557</x:v>
      </x:c>
      <x:c r="G386" s="25" t="n">
        <x:v>-0.11179260648040844</x:v>
      </x:c>
      <x:c r="H386" s="25" t="n">
        <x:v>0.002620027106451913</x:v>
      </x:c>
      <x:c r="I386" s="30" t="n">
        <x:v>0.08942622950819672</x:v>
      </x:c>
      <x:c r="J386" s="25" t="str">
        <x:v>CREDIT_INCOME_RATIO</x:v>
      </x:c>
      <x:c r="K386" s="25" t="str">
        <x:v>(2.7585449, 3.9021177]</x:v>
      </x:c>
      <x:c r="L386" s="35" t="b">
        <x:v>0</x:v>
      </x:c>
    </x:row>
    <x:row r="387" ht="19" customHeight="1">
      <x:c r="A387" s="25" t="str">
        <x:v>B3</x:v>
      </x:c>
      <x:c r="B387" s="28" t="n">
        <x:v>36590</x:v>
      </x:c>
      <x:c r="C387" s="25" t="n">
        <x:v>2992</x:v>
      </x:c>
      <x:c r="D387" s="25" t="n">
        <x:v>33598</x:v>
      </x:c>
      <x:c r="E387" s="25" t="n">
        <x:v>0.19975386371540937</x:v>
      </x:c>
      <x:c r="F387" s="25" t="n">
        <x:v>0.2025586353944563</x:v>
      </x:c>
      <x:c r="G387" s="25" t="n">
        <x:v>-0.013943474921591963</x:v>
      </x:c>
      <x:c r="H387" s="25" t="n">
        <x:v>0.000039108263567582024</x:v>
      </x:c>
      <x:c r="I387" s="30" t="n">
        <x:v>0.08177097567641432</x:v>
      </x:c>
      <x:c r="J387" s="25" t="str">
        <x:v>CREDIT_INCOME_RATIO</x:v>
      </x:c>
      <x:c r="K387" s="25" t="str">
        <x:v>(3.9021177, 5.7618251]</x:v>
      </x:c>
      <x:c r="L387" s="35" t="b">
        <x:v>0</x:v>
      </x:c>
    </x:row>
    <x:row r="388" ht="19" customHeight="1">
      <x:c r="A388" s="25" t="str">
        <x:v>B4</x:v>
      </x:c>
      <x:c r="B388" s="28" t="n">
        <x:v>36591</x:v>
      </x:c>
      <x:c r="C388" s="25" t="n">
        <x:v>2685</x:v>
      </x:c>
      <x:c r="D388" s="25" t="n">
        <x:v>33906</x:v>
      </x:c>
      <x:c r="E388" s="25" t="n">
        <x:v>0.20158502254762944</x:v>
      </x:c>
      <x:c r="F388" s="25" t="n">
        <x:v>0.18177818391038006</x:v>
      </x:c>
      <x:c r="G388" s="25" t="n">
        <x:v>0.103424066469069</x:v>
      </x:c>
      <x:c r="H388" s="25" t="n">
        <x:v>0.0020485037957610045</x:v>
      </x:c>
      <x:c r="I388" s="30" t="n">
        <x:v>0.07337869968024924</x:v>
      </x:c>
      <x:c r="J388" s="25" t="str">
        <x:v>CREDIT_INCOME_RATIO</x:v>
      </x:c>
      <x:c r="K388" s="25" t="str">
        <x:v>(5.7618251, inf]</x:v>
      </x:c>
      <x:c r="L388" s="35" t="b">
        <x:v>0</x:v>
      </x:c>
    </x:row>
    <x:row r="389" ht="19" customHeight="1">
      <x:c r="A389" s="25" t="str">
        <x:v>B0</x:v>
      </x:c>
      <x:c r="B389" s="28" t="n">
        <x:v>36600</x:v>
      </x:c>
      <x:c r="C389" s="25" t="n">
        <x:v>2646</x:v>
      </x:c>
      <x:c r="D389" s="25" t="n">
        <x:v>33954</x:v>
      </x:c>
      <x:c r="E389" s="25" t="n">
        <x:v>0.20187039795005335</x:v>
      </x:c>
      <x:c r="F389" s="25" t="n">
        <x:v>0.17913832199546487</x:v>
      </x:c>
      <x:c r="G389" s="25" t="n">
        <x:v>0.11946764118251998</x:v>
      </x:c>
      <x:c r="H389" s="25" t="n">
        <x:v>0.002715747493476567</x:v>
      </x:c>
      <x:c r="I389" s="30" t="n">
        <x:v>0.07229508196721311</x:v>
      </x:c>
      <x:c r="J389" s="25" t="str">
        <x:v>ANNUITY_INCOME_RATIO</x:v>
      </x:c>
      <x:c r="K389" s="25" t="str">
        <x:v>(-inf, 0.103125]</x:v>
      </x:c>
      <x:c r="L389" s="35" t="b">
        <x:v>0</x:v>
      </x:c>
    </x:row>
    <x:row r="390" ht="19" customHeight="1">
      <x:c r="A390" s="25" t="str">
        <x:v>B1</x:v>
      </x:c>
      <x:c r="B390" s="28" t="n">
        <x:v>36588</x:v>
      </x:c>
      <x:c r="C390" s="25" t="n">
        <x:v>2842</x:v>
      </x:c>
      <x:c r="D390" s="25" t="n">
        <x:v>33746</x:v>
      </x:c>
      <x:c r="E390" s="25" t="n">
        <x:v>0.20063377120621642</x:v>
      </x:c>
      <x:c r="F390" s="25" t="n">
        <x:v>0.19240532033709007</x:v>
      </x:c>
      <x:c r="G390" s="25" t="n">
        <x:v>0.041877022007585765</x:v>
      </x:c>
      <x:c r="H390" s="25" t="n">
        <x:v>0.0003445830181347425</x:v>
      </x:c>
      <x:c r="I390" s="30" t="n">
        <x:v>0.07767574068000438</x:v>
      </x:c>
      <x:c r="J390" s="25" t="str">
        <x:v>ANNUITY_INCOME_RATIO</x:v>
      </x:c>
      <x:c r="K390" s="25" t="str">
        <x:v>(0.103125, 0.14352174]</x:v>
      </x:c>
      <x:c r="L390" s="35" t="b">
        <x:v>0</x:v>
      </x:c>
    </x:row>
    <x:row r="391" ht="19" customHeight="1">
      <x:c r="A391" s="25" t="str">
        <x:v>B2</x:v>
      </x:c>
      <x:c r="B391" s="28" t="n">
        <x:v>36615</x:v>
      </x:c>
      <x:c r="C391" s="25" t="n">
        <x:v>2994</x:v>
      </x:c>
      <x:c r="D391" s="25" t="n">
        <x:v>33621</x:v>
      </x:c>
      <x:c r="E391" s="25" t="n">
        <x:v>0.1998906060957375</x:v>
      </x:c>
      <x:c r="F391" s="25" t="n">
        <x:v>0.20269401292855452</x:v>
      </x:c>
      <x:c r="G391" s="25" t="n">
        <x:v>-0.01392726902446093</x:v>
      </x:c>
      <x:c r="H391" s="25" t="n">
        <x:v>0.000039043801145654576</x:v>
      </x:c>
      <x:c r="I391" s="30" t="n">
        <x:v>0.08176976648914379</x:v>
      </x:c>
      <x:c r="J391" s="25" t="str">
        <x:v>ANNUITY_INCOME_RATIO</x:v>
      </x:c>
      <x:c r="K391" s="25" t="str">
        <x:v>(0.14352174, 0.185425]</x:v>
      </x:c>
      <x:c r="L391" s="35" t="b">
        <x:v>0</x:v>
      </x:c>
    </x:row>
    <x:row r="392" ht="19" customHeight="1">
      <x:c r="A392" s="25" t="str">
        <x:v>B3</x:v>
      </x:c>
      <x:c r="B392" s="28" t="n">
        <x:v>36577</x:v>
      </x:c>
      <x:c r="C392" s="25" t="n">
        <x:v>3153</x:v>
      </x:c>
      <x:c r="D392" s="25" t="n">
        <x:v>33424</x:v>
      </x:c>
      <x:c r="E392" s="25" t="n">
        <x:v>0.19871937788162272</x:v>
      </x:c>
      <x:c r="F392" s="25" t="n">
        <x:v>0.2134565268893627</x:v>
      </x:c>
      <x:c r="G392" s="25" t="n">
        <x:v>-0.07153952269566768</x:v>
      </x:c>
      <x:c r="H392" s="25" t="n">
        <x:v>0.0010542886059086507</x:v>
      </x:c>
      <x:c r="I392" s="30" t="n">
        <x:v>0.08620171145802007</x:v>
      </x:c>
      <x:c r="J392" s="25" t="str">
        <x:v>ANNUITY_INCOME_RATIO</x:v>
      </x:c>
      <x:c r="K392" s="25" t="str">
        <x:v>(0.185425, 0.24626666]</x:v>
      </x:c>
      <x:c r="L392" s="35" t="b">
        <x:v>0</x:v>
      </x:c>
    </x:row>
    <x:row r="393" ht="19" customHeight="1">
      <x:c r="A393" s="25" t="str">
        <x:v>B4</x:v>
      </x:c>
      <x:c r="B393" s="28" t="n">
        <x:v>36588</x:v>
      </x:c>
      <x:c r="C393" s="25" t="n">
        <x:v>3136</x:v>
      </x:c>
      <x:c r="D393" s="25" t="n">
        <x:v>33452</x:v>
      </x:c>
      <x:c r="E393" s="25" t="n">
        <x:v>0.19888584686637</x:v>
      </x:c>
      <x:c r="F393" s="25" t="n">
        <x:v>0.21230581784952787</x:v>
      </x:c>
      <x:c r="G393" s="25" t="n">
        <x:v>-0.06529674594474848</x:v>
      </x:c>
      <x:c r="H393" s="25" t="n">
        <x:v>0.0008762804358731555</x:v>
      </x:c>
      <x:c r="I393" s="30" t="n">
        <x:v>0.08571116212966</x:v>
      </x:c>
      <x:c r="J393" s="25" t="str">
        <x:v>ANNUITY_INCOME_RATIO</x:v>
      </x:c>
      <x:c r="K393" s="25" t="str">
        <x:v>(0.24626666, inf]</x:v>
      </x:c>
      <x:c r="L393" s="35" t="b">
        <x:v>0</x:v>
      </x:c>
    </x:row>
    <x:row r="394" ht="19" customHeight="1">
      <x:c r="A394" s="25" t="str">
        <x:v>B0</x:v>
      </x:c>
      <x:c r="B394" s="28" t="n">
        <x:v>36596</x:v>
      </x:c>
      <x:c r="C394" s="25" t="n">
        <x:v>2381</x:v>
      </x:c>
      <x:c r="D394" s="25" t="n">
        <x:v>34215</x:v>
      </x:c>
      <x:c r="E394" s="25" t="n">
        <x:v>0.20342212670073337</x:v>
      </x:c>
      <x:c r="F394" s="25" t="n">
        <x:v>0.1612007987274512</x:v>
      </x:c>
      <x:c r="G394" s="25" t="n">
        <x:v>0.23263247692543546</x:v>
      </x:c>
      <x:c r="H394" s="25" t="n">
        <x:v>0.009822052105505808</x:v>
      </x:c>
      <x:c r="I394" s="30" t="n">
        <x:v>0.06506175538310198</x:v>
      </x:c>
      <x:c r="J394" s="25" t="str">
        <x:v>ANNUITY_CREDIT_RATIO</x:v>
      </x:c>
      <x:c r="K394" s="25" t="str">
        <x:v>(-inf, 0.033175662]</x:v>
      </x:c>
      <x:c r="L394" s="35" t="b">
        <x:v>0</x:v>
      </x:c>
    </x:row>
    <x:row r="395" ht="19" customHeight="1">
      <x:c r="A395" s="25" t="str">
        <x:v>B1</x:v>
      </x:c>
      <x:c r="B395" s="28" t="n">
        <x:v>36591</x:v>
      </x:c>
      <x:c r="C395" s="25" t="n">
        <x:v>2225</x:v>
      </x:c>
      <x:c r="D395" s="25" t="n">
        <x:v>34366</x:v>
      </x:c>
      <x:c r="E395" s="25" t="n">
        <x:v>0.2043198701541919</x:v>
      </x:c>
      <x:c r="F395" s="25" t="n">
        <x:v>0.1506413510677903</x:v>
      </x:c>
      <x:c r="G395" s="25" t="n">
        <x:v>0.30478490362165467</x:v>
      </x:c>
      <x:c r="H395" s="25" t="n">
        <x:v>0.01636040226630206</x:v>
      </x:c>
      <x:c r="I395" s="30" t="n">
        <x:v>0.06080730234210598</x:v>
      </x:c>
      <x:c r="J395" s="25" t="str">
        <x:v>ANNUITY_CREDIT_RATIO</x:v>
      </x:c>
      <x:c r="K395" s="25" t="str">
        <x:v>(0.033175662, 0.046336731]</x:v>
      </x:c>
      <x:c r="L395" s="35" t="b">
        <x:v>0</x:v>
      </x:c>
    </x:row>
    <x:row r="396" ht="19" customHeight="1">
      <x:c r="A396" s="25" t="str">
        <x:v>B2</x:v>
      </x:c>
      <x:c r="B396" s="28" t="n">
        <x:v>36708</x:v>
      </x:c>
      <x:c r="C396" s="25" t="n">
        <x:v>3571</x:v>
      </x:c>
      <x:c r="D396" s="25" t="n">
        <x:v>33137</x:v>
      </x:c>
      <x:c r="E396" s="25" t="n">
        <x:v>0.1970130707879631</x:v>
      </x:c>
      <x:c r="F396" s="25" t="n">
        <x:v>0.24175043151588993</x:v>
      </x:c>
      <x:c r="G396" s="25" t="n">
        <x:v>-0.20463584358484058</x:v>
      </x:c>
      <x:c r="H396" s="25" t="n">
        <x:v>0.009154867552318625</x:v>
      </x:c>
      <x:c r="I396" s="30" t="n">
        <x:v>0.09728124659474774</x:v>
      </x:c>
      <x:c r="J396" s="25" t="str">
        <x:v>ANNUITY_CREDIT_RATIO</x:v>
      </x:c>
      <x:c r="K396" s="25" t="str">
        <x:v>(0.046336731, 0.051185668]</x:v>
      </x:c>
      <x:c r="L396" s="35" t="b">
        <x:v>0</x:v>
      </x:c>
    </x:row>
    <x:row r="397" ht="19" customHeight="1">
      <x:c r="A397" s="25" t="str">
        <x:v>B3</x:v>
      </x:c>
      <x:c r="B397" s="28" t="n">
        <x:v>36479</x:v>
      </x:c>
      <x:c r="C397" s="25" t="n">
        <x:v>3600</x:v>
      </x:c>
      <x:c r="D397" s="25" t="n">
        <x:v>32879</x:v>
      </x:c>
      <x:c r="E397" s="25" t="n">
        <x:v>0.1954791779999346</x:v>
      </x:c>
      <x:c r="F397" s="25" t="n">
        <x:v>0.24371340576031408</x:v>
      </x:c>
      <x:c r="G397" s="25" t="n">
        <x:v>-0.22053910103417645</x:v>
      </x:c>
      <x:c r="H397" s="25" t="n">
        <x:v>0.010637533229351808</x:v>
      </x:c>
      <x:c r="I397" s="30" t="n">
        <x:v>0.09868691575975219</x:v>
      </x:c>
      <x:c r="J397" s="25" t="str">
        <x:v>ANNUITY_CREDIT_RATIO</x:v>
      </x:c>
      <x:c r="K397" s="25" t="str">
        <x:v>(0.051185668, 0.068193956]</x:v>
      </x:c>
      <x:c r="L397" s="35" t="b">
        <x:v>0</x:v>
      </x:c>
    </x:row>
    <x:row r="398" ht="19" customHeight="1">
      <x:c r="A398" s="25" t="str">
        <x:v>B4</x:v>
      </x:c>
      <x:c r="B398" s="28" t="n">
        <x:v>36594</x:v>
      </x:c>
      <x:c r="C398" s="25" t="n">
        <x:v>2994</x:v>
      </x:c>
      <x:c r="D398" s="25" t="n">
        <x:v>33600</x:v>
      </x:c>
      <x:c r="E398" s="25" t="n">
        <x:v>0.19976575435717706</x:v>
      </x:c>
      <x:c r="F398" s="25" t="n">
        <x:v>0.20269401292855452</x:v>
      </x:c>
      <x:c r="G398" s="25" t="n">
        <x:v>-0.01455206449865522</x:v>
      </x:c>
      <x:c r="H398" s="25" t="n">
        <x:v>0.00004261220759942482</x:v>
      </x:c>
      <x:c r="I398" s="30" t="n">
        <x:v>0.08181669126086244</x:v>
      </x:c>
      <x:c r="J398" s="25" t="str">
        <x:v>ANNUITY_CREDIT_RATIO</x:v>
      </x:c>
      <x:c r="K398" s="25" t="str">
        <x:v>(0.068193956, inf]</x:v>
      </x:c>
      <x:c r="L398" s="35" t="b">
        <x:v>0</x:v>
      </x:c>
    </x:row>
    <x:row r="399" ht="19" customHeight="1">
      <x:c r="A399" s="25" t="str">
        <x:v>B0</x:v>
      </x:c>
      <x:c r="B399" s="28" t="n">
        <x:v>73326</x:v>
      </x:c>
      <x:c r="C399" s="25" t="n">
        <x:v>4807</x:v>
      </x:c>
      <x:c r="D399" s="25" t="n">
        <x:v>68519</x:v>
      </x:c>
      <x:c r="E399" s="25" t="n">
        <x:v>0.4073716252772014</x:v>
      </x:c>
      <x:c r="F399" s="25" t="n">
        <x:v>0.3254247613890205</x:v>
      </x:c>
      <x:c r="G399" s="25" t="n">
        <x:v>0.22459456593048313</x:v>
      </x:c>
      <x:c r="H399" s="25" t="n">
        <x:v>0.01840482032433037</x:v>
      </x:c>
      <x:c r="I399" s="30" t="n">
        <x:v>0.06555655565556556</x:v>
      </x:c>
      <x:c r="J399" s="25" t="str">
        <x:v>CREDIT_GOODS_RATIO</x:v>
      </x:c>
      <x:c r="K399" s="25" t="str">
        <x:v>(-inf, 1.0791987]</x:v>
      </x:c>
      <x:c r="L399" s="35" t="b">
        <x:v>0</x:v>
      </x:c>
    </x:row>
    <x:row r="400" ht="19" customHeight="1">
      <x:c r="A400" s="25" t="str">
        <x:v>B1</x:v>
      </x:c>
      <x:c r="B400" s="28" t="n">
        <x:v>39244</x:v>
      </x:c>
      <x:c r="C400" s="25" t="n">
        <x:v>2632</x:v>
      </x:c>
      <x:c r="D400" s="25" t="n">
        <x:v>36612</x:v>
      </x:c>
      <x:c r="E400" s="25" t="n">
        <x:v>0.21767370792929802</x:v>
      </x:c>
      <x:c r="F400" s="25" t="n">
        <x:v>0.17819671021458067</x:v>
      </x:c>
      <x:c r="G400" s="25" t="n">
        <x:v>0.20010913524936555</x:v>
      </x:c>
      <x:c r="H400" s="25" t="n">
        <x:v>0.00789970787493327</x:v>
      </x:c>
      <x:c r="I400" s="30" t="n">
        <x:v>0.06706757720925492</x:v>
      </x:c>
      <x:c r="J400" s="25" t="str">
        <x:v>CREDIT_GOODS_RATIO</x:v>
      </x:c>
      <x:c r="K400" s="25" t="str">
        <x:v>(1.0791987, 1.1452]</x:v>
      </x:c>
      <x:c r="L400" s="35" t="b">
        <x:v>0</x:v>
      </x:c>
    </x:row>
    <x:row r="401" ht="19" customHeight="1">
      <x:c r="A401" s="25" t="str">
        <x:v>B2</x:v>
      </x:c>
      <x:c r="B401" s="28" t="n">
        <x:v>38137</x:v>
      </x:c>
      <x:c r="C401" s="25" t="n">
        <x:v>3644</x:v>
      </x:c>
      <x:c r="D401" s="25" t="n">
        <x:v>34493</x:v>
      </x:c>
      <x:c r="E401" s="25" t="n">
        <x:v>0.20507553552637056</x:v>
      </x:c>
      <x:c r="F401" s="25" t="n">
        <x:v>0.2467000609219522</x:v>
      </x:c>
      <x:c r="G401" s="25" t="n">
        <x:v>-0.18479489322901244</x:v>
      </x:c>
      <x:c r="H401" s="25" t="n">
        <x:v>0.007691999726184827</x:v>
      </x:c>
      <x:c r="I401" s="30" t="n">
        <x:v>0.09555025303511026</x:v>
      </x:c>
      <x:c r="J401" s="25" t="str">
        <x:v>CREDIT_GOODS_RATIO</x:v>
      </x:c>
      <x:c r="K401" s="25" t="str">
        <x:v>(1.1452, 1.2112]</x:v>
      </x:c>
      <x:c r="L401" s="35" t="b">
        <x:v>0</x:v>
      </x:c>
    </x:row>
    <x:row r="402" ht="19" customHeight="1">
      <x:c r="A402" s="25" t="str">
        <x:v>B3</x:v>
      </x:c>
      <x:c r="B402" s="28" t="n">
        <x:v>32261</x:v>
      </x:c>
      <x:c r="C402" s="25" t="n">
        <x:v>3688</x:v>
      </x:c>
      <x:c r="D402" s="25" t="n">
        <x:v>28573</x:v>
      </x:c>
      <x:c r="E402" s="25" t="n">
        <x:v>0.16987913126713</x:v>
      </x:c>
      <x:c r="F402" s="25" t="n">
        <x:v>0.24967846747444664</x:v>
      </x:c>
      <x:c r="G402" s="25" t="n">
        <x:v>-0.3850867683559874</x:v>
      </x:c>
      <x:c r="H402" s="25" t="n">
        <x:v>0.030729668497028496</x:v>
      </x:c>
      <x:c r="I402" s="30" t="n">
        <x:v>0.11431759709866403</x:v>
      </x:c>
      <x:c r="J402" s="25" t="str">
        <x:v>CREDIT_GOODS_RATIO</x:v>
      </x:c>
      <x:c r="K402" s="25" t="str">
        <x:v>(1.2112, inf]</x:v>
      </x:c>
      <x:c r="L402" s="35" t="b">
        <x:v>0</x:v>
      </x:c>
    </x:row>
    <x:row r="403" ht="19" customHeight="1">
      <x:c r="A403" s="25" t="str">
        <x:v>B0</x:v>
      </x:c>
      <x:c r="B403" s="28" t="n">
        <x:v>44835</x:v>
      </x:c>
      <x:c r="C403" s="25" t="n">
        <x:v>3936</x:v>
      </x:c>
      <x:c r="D403" s="25" t="n">
        <x:v>40899</x:v>
      </x:c>
      <x:c r="E403" s="25" t="n">
        <x:v>0.24316065148826246</x:v>
      </x:c>
      <x:c r="F403" s="25" t="n">
        <x:v>0.26645683148881444</x:v>
      </x:c>
      <x:c r="G403" s="25" t="n">
        <x:v>-0.0914899051943236</x:v>
      </x:c>
      <x:c r="H403" s="25" t="n">
        <x:v>0.0021313652996403976</x:v>
      </x:c>
      <x:c r="I403" s="30" t="n">
        <x:v>0.0877885580461693</x:v>
      </x:c>
      <x:c r="J403" s="25" t="str">
        <x:v>INCOME_PER_MEMBER</x:v>
      </x:c>
      <x:c r="K403" s="25" t="str">
        <x:v>(-inf, 45000]</x:v>
      </x:c>
      <x:c r="L403" s="35" t="b">
        <x:v>0</x:v>
      </x:c>
    </x:row>
    <x:row r="404" ht="19" customHeight="1">
      <x:c r="A404" s="25" t="str">
        <x:v>B1</x:v>
      </x:c>
      <x:c r="B404" s="28" t="n">
        <x:v>42146</x:v>
      </x:c>
      <x:c r="C404" s="25" t="n">
        <x:v>3429</x:v>
      </x:c>
      <x:c r="D404" s="25" t="n">
        <x:v>38717</x:v>
      </x:c>
      <x:c r="E404" s="25" t="n">
        <x:v>0.23018796131974234</x:v>
      </x:c>
      <x:c r="F404" s="25" t="n">
        <x:v>0.23213862659491658</x:v>
      </x:c>
      <x:c r="G404" s="25" t="n">
        <x:v>-0.008438523336140948</x:v>
      </x:c>
      <x:c r="H404" s="25" t="n">
        <x:v>0.000016460734445557585</x:v>
      </x:c>
      <x:c r="I404" s="30" t="n">
        <x:v>0.08136003416694348</x:v>
      </x:c>
      <x:c r="J404" s="25" t="str">
        <x:v>INCOME_PER_MEMBER</x:v>
      </x:c>
      <x:c r="K404" s="25" t="str">
        <x:v>(45000, 67500]</x:v>
      </x:c>
      <x:c r="L404" s="35" t="b">
        <x:v>0</x:v>
      </x:c>
    </x:row>
    <x:row r="405" ht="19" customHeight="1">
      <x:c r="A405" s="25" t="str">
        <x:v>B2</x:v>
      </x:c>
      <x:c r="B405" s="28" t="n">
        <x:v>31342</x:v>
      </x:c>
      <x:c r="C405" s="25" t="n">
        <x:v>2523</x:v>
      </x:c>
      <x:c r="D405" s="25" t="n">
        <x:v>28819</x:v>
      </x:c>
      <x:c r="E405" s="25" t="n">
        <x:v>0.1713411752115791</x:v>
      </x:c>
      <x:c r="F405" s="25" t="n">
        <x:v>0.17081260364842454</x:v>
      </x:c>
      <x:c r="G405" s="25" t="n">
        <x:v>0.003089674972454271</x:v>
      </x:c>
      <x:c r="H405" s="25" t="n">
        <x:v>0.0000016331143298296644</x:v>
      </x:c>
      <x:c r="I405" s="30" t="n">
        <x:v>0.08049901091187543</x:v>
      </x:c>
      <x:c r="J405" s="25" t="str">
        <x:v>INCOME_PER_MEMBER</x:v>
      </x:c>
      <x:c r="K405" s="25" t="str">
        <x:v>(67500, 90000]</x:v>
      </x:c>
      <x:c r="L405" s="35" t="b">
        <x:v>0</x:v>
      </x:c>
    </x:row>
    <x:row r="406" ht="19" customHeight="1">
      <x:c r="A406" s="25" t="str">
        <x:v>B3</x:v>
      </x:c>
      <x:c r="B406" s="28" t="n">
        <x:v>35790</x:v>
      </x:c>
      <x:c r="C406" s="25" t="n">
        <x:v>2716</x:v>
      </x:c>
      <x:c r="D406" s="25" t="n">
        <x:v>33074</x:v>
      </x:c>
      <x:c r="E406" s="25" t="n">
        <x:v>0.19663851557228174</x:v>
      </x:c>
      <x:c r="F406" s="25" t="n">
        <x:v>0.18387653568890241</x:v>
      </x:c>
      <x:c r="G406" s="25" t="n">
        <x:v>0.06710256613224459</x:v>
      </x:c>
      <x:c r="H406" s="25" t="n">
        <x:v>0.000856361599102836</x:v>
      </x:c>
      <x:c r="I406" s="30" t="n">
        <x:v>0.07588711930706901</x:v>
      </x:c>
      <x:c r="J406" s="25" t="str">
        <x:v>INCOME_PER_MEMBER</x:v>
      </x:c>
      <x:c r="K406" s="25" t="str">
        <x:v>(90000, 135000]</x:v>
      </x:c>
      <x:c r="L406" s="35" t="b">
        <x:v>0</x:v>
      </x:c>
    </x:row>
    <x:row r="407" ht="19" customHeight="1">
      <x:c r="A407" s="25" t="str">
        <x:v>B4</x:v>
      </x:c>
      <x:c r="B407" s="28" t="n">
        <x:v>28855</x:v>
      </x:c>
      <x:c r="C407" s="25" t="n">
        <x:v>2167</x:v>
      </x:c>
      <x:c r="D407" s="25" t="n">
        <x:v>26688</x:v>
      </x:c>
      <x:c r="E407" s="25" t="n">
        <x:v>0.1586716964081344</x:v>
      </x:c>
      <x:c r="F407" s="25" t="n">
        <x:v>0.14671540257894203</x:v>
      </x:c>
      <x:c r="G407" s="25" t="n">
        <x:v>0.0783425917531742</x:v>
      </x:c>
      <x:c r="H407" s="25" t="n">
        <x:v>0.0009366870463414131</x:v>
      </x:c>
      <x:c r="I407" s="30" t="n">
        <x:v>0.07509963611159244</x:v>
      </x:c>
      <x:c r="J407" s="25" t="str">
        <x:v>INCOME_PER_MEMBER</x:v>
      </x:c>
      <x:c r="K407" s="25" t="str">
        <x:v>(135000, inf]</x:v>
      </x:c>
      <x:c r="L407" s="35" t="b">
        <x:v>0</x:v>
      </x:c>
    </x:row>
    <x:row r="408" ht="19" customHeight="1">
      <x:c r="A408" s="25" t="str">
        <x:v>B0</x:v>
      </x:c>
      <x:c r="B408" s="28" t="n">
        <x:v>36602</x:v>
      </x:c>
      <x:c r="C408" s="25" t="n">
        <x:v>3414</x:v>
      </x:c>
      <x:c r="D408" s="25" t="n">
        <x:v>33188</x:v>
      </x:c>
      <x:c r="E408" s="25" t="n">
        <x:v>0.1973162821530385</x:v>
      </x:c>
      <x:c r="F408" s="25" t="n">
        <x:v>0.23112329508917995</x:v>
      </x:c>
      <x:c r="G408" s="25" t="n">
        <x:v>-0.15814337863115605</x:v>
      </x:c>
      <x:c r="H408" s="25" t="n">
        <x:v>0.005346355247148606</x:v>
      </x:c>
      <x:c r="I408" s="30" t="n">
        <x:v>0.09327359160701601</x:v>
      </x:c>
      <x:c r="J408" s="25" t="str">
        <x:v>REGISTRATION_YEARS</x:v>
      </x:c>
      <x:c r="K408" s="25" t="str">
        <x:v>(-inf, 4.1095142]</x:v>
      </x:c>
      <x:c r="L408" s="35" t="b">
        <x:v>0</x:v>
      </x:c>
    </x:row>
    <x:row r="409" ht="19" customHeight="1">
      <x:c r="A409" s="25" t="str">
        <x:v>B1</x:v>
      </x:c>
      <x:c r="B409" s="28" t="n">
        <x:v>36586</x:v>
      </x:c>
      <x:c r="C409" s="25" t="n">
        <x:v>3181</x:v>
      </x:c>
      <x:c r="D409" s="25" t="n">
        <x:v>33405</x:v>
      </x:c>
      <x:c r="E409" s="25" t="n">
        <x:v>0.19860641678482993</x:v>
      </x:c>
      <x:c r="F409" s="25" t="n">
        <x:v>0.21535181236673773</x:v>
      </x:c>
      <x:c r="G409" s="25" t="n">
        <x:v>-0.08094796619319136</x:v>
      </x:c>
      <x:c r="H409" s="25" t="n">
        <x:v>0.0013555057154558882</x:v>
      </x:c>
      <x:c r="I409" s="30" t="n">
        <x:v>0.08694582627234461</x:v>
      </x:c>
      <x:c r="J409" s="25" t="str">
        <x:v>REGISTRATION_YEARS</x:v>
      </x:c>
      <x:c r="K409" s="25" t="str">
        <x:v>(4.1095142, 9.7029428]</x:v>
      </x:c>
      <x:c r="L409" s="35" t="b">
        <x:v>0</x:v>
      </x:c>
    </x:row>
    <x:row r="410" ht="19" customHeight="1">
      <x:c r="A410" s="25" t="str">
        <x:v>B2</x:v>
      </x:c>
      <x:c r="B410" s="28" t="n">
        <x:v>36609</x:v>
      </x:c>
      <x:c r="C410" s="25" t="n">
        <x:v>3175</x:v>
      </x:c>
      <x:c r="D410" s="25" t="n">
        <x:v>33434</x:v>
      </x:c>
      <x:c r="E410" s="25" t="n">
        <x:v>0.19877883109046102</x:v>
      </x:c>
      <x:c r="F410" s="25" t="n">
        <x:v>0.2149456797644431</x:v>
      </x:c>
      <x:c r="G410" s="25" t="n">
        <x:v>-0.07819253884297635</x:v>
      </x:c>
      <x:c r="H410" s="25" t="n">
        <x:v>0.0012641269429088642</x:v>
      </x:c>
      <x:c r="I410" s="30" t="n">
        <x:v>0.08672730749269306</x:v>
      </x:c>
      <x:c r="J410" s="25" t="str">
        <x:v>REGISTRATION_YEARS</x:v>
      </x:c>
      <x:c r="K410" s="25" t="str">
        <x:v>(9.7029428, 14.965093]</x:v>
      </x:c>
      <x:c r="L410" s="35" t="b">
        <x:v>0</x:v>
      </x:c>
    </x:row>
    <x:row r="411" ht="19" customHeight="1">
      <x:c r="A411" s="25" t="str">
        <x:v>B3</x:v>
      </x:c>
      <x:c r="B411" s="28" t="n">
        <x:v>36579</x:v>
      </x:c>
      <x:c r="C411" s="25" t="n">
        <x:v>2788</x:v>
      </x:c>
      <x:c r="D411" s="25" t="n">
        <x:v>33791</x:v>
      </x:c>
      <x:c r="E411" s="25" t="n">
        <x:v>0.20090131064598885</x:v>
      </x:c>
      <x:c r="F411" s="25" t="n">
        <x:v>0.18875012691643822</x:v>
      </x:c>
      <x:c r="G411" s="25" t="n">
        <x:v>0.062389735138247596</x:v>
      </x:c>
      <x:c r="H411" s="25" t="n">
        <x:v>0.0007581091345028471</x:v>
      </x:c>
      <x:c r="I411" s="30" t="n">
        <x:v>0.07621859536892753</x:v>
      </x:c>
      <x:c r="J411" s="25" t="str">
        <x:v>REGISTRATION_YEARS</x:v>
      </x:c>
      <x:c r="K411" s="25" t="str">
        <x:v>(14.965093, 22.570843]</x:v>
      </x:c>
      <x:c r="L411" s="35" t="b">
        <x:v>0</x:v>
      </x:c>
    </x:row>
    <x:row r="412" ht="19" customHeight="1">
      <x:c r="A412" s="25" t="str">
        <x:v>B4</x:v>
      </x:c>
      <x:c r="B412" s="28" t="n">
        <x:v>36592</x:v>
      </x:c>
      <x:c r="C412" s="25" t="n">
        <x:v>2213</x:v>
      </x:c>
      <x:c r="D412" s="25" t="n">
        <x:v>34379</x:v>
      </x:c>
      <x:c r="E412" s="25" t="n">
        <x:v>0.2043971593256817</x:v>
      </x:c>
      <x:c r="F412" s="25" t="n">
        <x:v>0.149829085863201</x:v>
      </x:c>
      <x:c r="G412" s="25" t="n">
        <x:v>0.31056974373264395</x:v>
      </x:c>
      <x:c r="H412" s="25" t="n">
        <x:v>0.016947192591226717</x:v>
      </x:c>
      <x:c r="I412" s="30" t="n">
        <x:v>0.06047770004372541</x:v>
      </x:c>
      <x:c r="J412" s="25" t="str">
        <x:v>REGISTRATION_YEARS</x:v>
      </x:c>
      <x:c r="K412" s="25" t="str">
        <x:v>(22.570843, inf]</x:v>
      </x:c>
      <x:c r="L412" s="35" t="b">
        <x:v>0</x:v>
      </x:c>
    </x:row>
    <x:row r="413" ht="19" customHeight="1">
      <x:c r="A413" s="25" t="str">
        <x:v>B0</x:v>
      </x:c>
      <x:c r="B413" s="28" t="n">
        <x:v>36600</x:v>
      </x:c>
      <x:c r="C413" s="25" t="n">
        <x:v>3654</x:v>
      </x:c>
      <x:c r="D413" s="25" t="n">
        <x:v>32946</x:v>
      </x:c>
      <x:c r="E413" s="25" t="n">
        <x:v>0.1958775144991513</x:v>
      </x:c>
      <x:c r="F413" s="25" t="n">
        <x:v>0.24736859918096593</x:v>
      </x:c>
      <x:c r="G413" s="25" t="n">
        <x:v>-0.23338999076659542</x:v>
      </x:c>
      <x:c r="H413" s="25" t="n">
        <x:v>0.012017503778450699</x:v>
      </x:c>
      <x:c r="I413" s="30" t="n">
        <x:v>0.09983606557377049</x:v>
      </x:c>
      <x:c r="J413" s="25" t="str">
        <x:v>ID_AGE_YEARS</x:v>
      </x:c>
      <x:c r="K413" s="25" t="str">
        <x:v>(-inf, 3.7700205]</x:v>
      </x:c>
      <x:c r="L413" s="35" t="b">
        <x:v>0</x:v>
      </x:c>
    </x:row>
    <x:row r="414" ht="19" customHeight="1">
      <x:c r="A414" s="25" t="str">
        <x:v>B1</x:v>
      </x:c>
      <x:c r="B414" s="28" t="n">
        <x:v>36597</x:v>
      </x:c>
      <x:c r="C414" s="25" t="n">
        <x:v>3329</x:v>
      </x:c>
      <x:c r="D414" s="25" t="n">
        <x:v>33268</x:v>
      </x:c>
      <x:c r="E414" s="25" t="n">
        <x:v>0.197791907823745</x:v>
      </x:c>
      <x:c r="F414" s="25" t="n">
        <x:v>0.22536974989000574</x:v>
      </x:c>
      <x:c r="G414" s="25" t="n">
        <x:v>-0.1305268788043973</x:v>
      </x:c>
      <x:c r="H414" s="25" t="n">
        <x:v>0.003599649649069625</x:v>
      </x:c>
      <x:c r="I414" s="30" t="n">
        <x:v>0.09096374019728393</x:v>
      </x:c>
      <x:c r="J414" s="25" t="str">
        <x:v>ID_AGE_YEARS</x:v>
      </x:c>
      <x:c r="K414" s="25" t="str">
        <x:v>(3.7700205, 7.2744694]</x:v>
      </x:c>
      <x:c r="L414" s="35" t="b">
        <x:v>0</x:v>
      </x:c>
    </x:row>
    <x:row r="415" ht="19" customHeight="1">
      <x:c r="A415" s="25" t="str">
        <x:v>B2</x:v>
      </x:c>
      <x:c r="B415" s="28" t="n">
        <x:v>36597</x:v>
      </x:c>
      <x:c r="C415" s="25" t="n">
        <x:v>2943</x:v>
      </x:c>
      <x:c r="D415" s="25" t="n">
        <x:v>33654</x:v>
      </x:c>
      <x:c r="E415" s="25" t="n">
        <x:v>0.20008680168490395</x:v>
      </x:c>
      <x:c r="F415" s="25" t="n">
        <x:v>0.19924188580905</x:v>
      </x:c>
      <x:c r="G415" s="25" t="n">
        <x:v>0.004231687645555257</x:v>
      </x:c>
      <x:c r="H415" s="25" t="n">
        <x:v>0.0000035754200733846453</x:v>
      </x:c>
      <x:c r="I415" s="30" t="n">
        <x:v>0.08041642757603082</x:v>
      </x:c>
      <x:c r="J415" s="25" t="str">
        <x:v>ID_AGE_YEARS</x:v>
      </x:c>
      <x:c r="K415" s="25" t="str">
        <x:v>(7.2744694, 10.628337]</x:v>
      </x:c>
      <x:c r="L415" s="35" t="b">
        <x:v>0</x:v>
      </x:c>
    </x:row>
    <x:row r="416" ht="19" customHeight="1">
      <x:c r="A416" s="25" t="str">
        <x:v>B3</x:v>
      </x:c>
      <x:c r="B416" s="28" t="n">
        <x:v>36581</x:v>
      </x:c>
      <x:c r="C416" s="25" t="n">
        <x:v>2612</x:v>
      </x:c>
      <x:c r="D416" s="25" t="n">
        <x:v>33969</x:v>
      </x:c>
      <x:c r="E416" s="25" t="n">
        <x:v>0.20195957776331083</x:v>
      </x:c>
      <x:c r="F416" s="25" t="n">
        <x:v>0.17683690391579518</x:v>
      </x:c>
      <x:c r="G416" s="25" t="n">
        <x:v>0.13283970631655428</x:v>
      </x:c>
      <x:c r="H416" s="25" t="n">
        <x:v>0.003337288615790558</x:v>
      </x:c>
      <x:c r="I416" s="30" t="n">
        <x:v>0.07140318744703535</x:v>
      </x:c>
      <x:c r="J416" s="25" t="str">
        <x:v>ID_AGE_YEARS</x:v>
      </x:c>
      <x:c r="K416" s="25" t="str">
        <x:v>(10.628337, 12.125941]</x:v>
      </x:c>
      <x:c r="L416" s="35" t="b">
        <x:v>0</x:v>
      </x:c>
    </x:row>
    <x:row r="417" ht="19" customHeight="1">
      <x:c r="A417" s="25" t="str">
        <x:v>B4</x:v>
      </x:c>
      <x:c r="B417" s="28" t="n">
        <x:v>36593</x:v>
      </x:c>
      <x:c r="C417" s="25" t="n">
        <x:v>2233</x:v>
      </x:c>
      <x:c r="D417" s="25" t="n">
        <x:v>34360</x:v>
      </x:c>
      <x:c r="E417" s="25" t="n">
        <x:v>0.2042841982288889</x:v>
      </x:c>
      <x:c r="F417" s="25" t="n">
        <x:v>0.15118286120418317</x:v>
      </x:c>
      <x:c r="G417" s="25" t="n">
        <x:v>0.301022047417471</x:v>
      </x:c>
      <x:c r="H417" s="25" t="n">
        <x:v>0.015984673191782078</x:v>
      </x:c>
      <x:c r="I417" s="30" t="n">
        <x:v>0.06102259995081027</x:v>
      </x:c>
      <x:c r="J417" s="25" t="str">
        <x:v>ID_AGE_YEARS</x:v>
      </x:c>
      <x:c r="K417" s="25" t="str">
        <x:v>(12.125941, inf]</x:v>
      </x:c>
      <x:c r="L417" s="35" t="b">
        <x:v>0</x:v>
      </x:c>
    </x:row>
    <x:row r="418" ht="19" customHeight="1">
      <x:c r="A418" s="25" t="str">
        <x:v>B0</x:v>
      </x:c>
      <x:c r="B418" s="28" t="n">
        <x:v>36625</x:v>
      </x:c>
      <x:c r="C418" s="25" t="n">
        <x:v>3411</x:v>
      </x:c>
      <x:c r="D418" s="25" t="n">
        <x:v>33214</x:v>
      </x:c>
      <x:c r="E418" s="25" t="n">
        <x:v>0.1974708604960181</x:v>
      </x:c>
      <x:c r="F418" s="25" t="n">
        <x:v>0.23092022878803262</x:v>
      </x:c>
      <x:c r="G418" s="25" t="n">
        <x:v>-0.15648128929624638</x:v>
      </x:c>
      <x:c r="H418" s="25" t="n">
        <x:v>0.005234200276479412</x:v>
      </x:c>
      <x:c r="I418" s="30" t="n">
        <x:v>0.09313310580204778</x:v>
      </x:c>
      <x:c r="J418" s="25" t="str">
        <x:v>PHONE_CHANGE_YEARS</x:v>
      </x:c>
      <x:c r="K418" s="25" t="str">
        <x:v>(-inf, 0.44353184]</x:v>
      </x:c>
      <x:c r="L418" s="35" t="b">
        <x:v>0</x:v>
      </x:c>
    </x:row>
    <x:row r="419" ht="19" customHeight="1">
      <x:c r="A419" s="25" t="str">
        <x:v>B1</x:v>
      </x:c>
      <x:c r="B419" s="28" t="n">
        <x:v>36621</x:v>
      </x:c>
      <x:c r="C419" s="25" t="n">
        <x:v>3500</x:v>
      </x:c>
      <x:c r="D419" s="25" t="n">
        <x:v>33121</x:v>
      </x:c>
      <x:c r="E419" s="25" t="n">
        <x:v>0.1969179456538218</x:v>
      </x:c>
      <x:c r="F419" s="25" t="n">
        <x:v>0.23694452905540325</x:v>
      </x:c>
      <x:c r="G419" s="25" t="n">
        <x:v>-0.18503893667563265</x:v>
      </x:c>
      <x:c r="H419" s="25" t="n">
        <x:v>0.007406476431387156</x:v>
      </x:c>
      <x:c r="I419" s="30" t="n">
        <x:v>0.09557357800169301</x:v>
      </x:c>
      <x:c r="J419" s="25" t="str">
        <x:v>PHONE_CHANGE_YEARS</x:v>
      </x:c>
      <x:c r="K419" s="25" t="str">
        <x:v>(0.44353184, 1.5030801]</x:v>
      </x:c>
      <x:c r="L419" s="35" t="b">
        <x:v>0</x:v>
      </x:c>
    </x:row>
    <x:row r="420" ht="19" customHeight="1">
      <x:c r="A420" s="25" t="str">
        <x:v>B2</x:v>
      </x:c>
      <x:c r="B420" s="28" t="n">
        <x:v>36573</x:v>
      </x:c>
      <x:c r="C420" s="25" t="n">
        <x:v>3190</x:v>
      </x:c>
      <x:c r="D420" s="25" t="n">
        <x:v>33383</x:v>
      </x:c>
      <x:c r="E420" s="25" t="n">
        <x:v>0.19847561972538563</x:v>
      </x:c>
      <x:c r="F420" s="25" t="n">
        <x:v>0.21596101127017972</x:v>
      </x:c>
      <x:c r="G420" s="25" t="n">
        <x:v>-0.08443161797087075</x:v>
      </x:c>
      <x:c r="H420" s="25" t="n">
        <x:v>0.0014763198989811478</x:v>
      </x:c>
      <x:c r="I420" s="30" t="n">
        <x:v>0.08722281464468323</x:v>
      </x:c>
      <x:c r="J420" s="25" t="str">
        <x:v>PHONE_CHANGE_YEARS</x:v>
      </x:c>
      <x:c r="K420" s="25" t="str">
        <x:v>(1.5030801, 2.9103353]</x:v>
      </x:c>
      <x:c r="L420" s="35" t="b">
        <x:v>0</x:v>
      </x:c>
    </x:row>
    <x:row r="421" ht="19" customHeight="1">
      <x:c r="A421" s="25" t="str">
        <x:v>B3</x:v>
      </x:c>
      <x:c r="B421" s="28" t="n">
        <x:v>36590</x:v>
      </x:c>
      <x:c r="C421" s="25" t="n">
        <x:v>2539</x:v>
      </x:c>
      <x:c r="D421" s="25" t="n">
        <x:v>34051</x:v>
      </x:c>
      <x:c r="E421" s="25" t="n">
        <x:v>0.202447094075785</x:v>
      </x:c>
      <x:c r="F421" s="25" t="n">
        <x:v>0.17189562392121027</x:v>
      </x:c>
      <x:c r="G421" s="25" t="n">
        <x:v>0.16359113364240155</x:v>
      </x:c>
      <x:c r="H421" s="25" t="n">
        <x:v>0.004997949637028878</x:v>
      </x:c>
      <x:c r="I421" s="30" t="n">
        <x:v>0.06939054386444383</x:v>
      </x:c>
      <x:c r="J421" s="25" t="str">
        <x:v>PHONE_CHANGE_YEARS</x:v>
      </x:c>
      <x:c r="K421" s="25" t="str">
        <x:v>(2.9103353, 4.7091036]</x:v>
      </x:c>
      <x:c r="L421" s="35" t="b">
        <x:v>0</x:v>
      </x:c>
    </x:row>
    <x:row r="422" ht="19" customHeight="1">
      <x:c r="A422" s="25" t="str">
        <x:v>B4</x:v>
      </x:c>
      <x:c r="B422" s="28" t="n">
        <x:v>36559</x:v>
      </x:c>
      <x:c r="C422" s="25" t="n">
        <x:v>2131</x:v>
      </x:c>
      <x:c r="D422" s="25" t="n">
        <x:v>34428</x:v>
      </x:c>
      <x:c r="E422" s="25" t="n">
        <x:v>0.20468848004898946</x:v>
      </x:c>
      <x:c r="F422" s="25" t="n">
        <x:v>0.14427860696517414</x:v>
      </x:c>
      <x:c r="G422" s="25" t="n">
        <x:v>0.3497430129341705</x:v>
      </x:c>
      <x:c r="H422" s="25" t="n">
        <x:v>0.02112793102330442</x:v>
      </x:c>
      <x:c r="I422" s="30" t="n">
        <x:v>0.05828934051806669</x:v>
      </x:c>
      <x:c r="J422" s="25" t="str">
        <x:v>PHONE_CHANGE_YEARS</x:v>
      </x:c>
      <x:c r="K422" s="25" t="str">
        <x:v>(4.7091036, inf]</x:v>
      </x:c>
      <x:c r="L422" s="35" t="b">
        <x:v>0</x:v>
      </x:c>
    </x:row>
    <x:row r="423" ht="19" customHeight="1">
      <x:c r="A423" s="25" t="n">
        <x:v>0</x:v>
      </x:c>
      <x:c r="B423" s="28" t="n">
        <x:v>17740</x:v>
      </x:c>
      <x:c r="C423" s="25" t="n">
        <x:v>989</x:v>
      </x:c>
      <x:c r="D423" s="25" t="n">
        <x:v>16751</x:v>
      </x:c>
      <x:c r="E423" s="25" t="n">
        <x:v>0.09959304278550174</x:v>
      </x:c>
      <x:c r="F423" s="25" t="n">
        <x:v>0.06697803499509257</x:v>
      </x:c>
      <x:c r="G423" s="25" t="n">
        <x:v>0.3967275808527411</x:v>
      </x:c>
      <x:c r="H423" s="25" t="n">
        <x:v>0.012939273140182336</x:v>
      </x:c>
      <x:c r="I423" s="30" t="n">
        <x:v>0.05574971815107103</x:v>
      </x:c>
      <x:c r="J423" s="25" t="str">
        <x:v>DOCUMENT_COUNT</x:v>
      </x:c>
      <x:c r="K423" s="25" t="n">
        <x:v>0</x:v>
      </x:c>
      <x:c r="L423" s="35" t="b">
        <x:v>0</x:v>
      </x:c>
    </x:row>
    <x:row r="424" ht="19" customHeight="1">
      <x:c r="A424" s="25" t="n">
        <x:v>1</x:v>
      </x:c>
      <x:c r="B424" s="28" t="n">
        <x:v>160563</x:v>
      </x:c>
      <x:c r="C424" s="25" t="n">
        <x:v>13549</x:v>
      </x:c>
      <x:c r="D424" s="25" t="n">
        <x:v>147014</x:v>
      </x:c>
      <x:c r="E424" s="25" t="n">
        <x:v>0.8740483770760318</x:v>
      </x:c>
      <x:c r="F424" s="25" t="n">
        <x:v>0.9171489491318916</x:v>
      </x:c>
      <x:c r="G424" s="25" t="n">
        <x:v>-0.048134164492997844</x:v>
      </x:c>
      <x:c r="H424" s="25" t="n">
        <x:v>0.0020746100250790627</x:v>
      </x:c>
      <x:c r="I424" s="30" t="n">
        <x:v>0.08438432266462385</x:v>
      </x:c>
      <x:c r="J424" s="25" t="str">
        <x:v>DOCUMENT_COUNT</x:v>
      </x:c>
      <x:c r="K424" s="25" t="n">
        <x:v>1</x:v>
      </x:c>
      <x:c r="L424" s="35" t="b">
        <x:v>0</x:v>
      </x:c>
    </x:row>
    <x:row r="425" ht="19" customHeight="1">
      <x:c r="A425" s="25" t="n">
        <x:v>2</x:v>
      </x:c>
      <x:c r="B425" s="28" t="n">
        <x:v>4569</x:v>
      </x:c>
      <x:c r="C425" s="25" t="n">
        <x:v>221</x:v>
      </x:c>
      <x:c r="D425" s="25" t="n">
        <x:v>4348</x:v>
      </x:c>
      <x:c r="E425" s="25" t="n">
        <x:v>0.025853227863340853</x:v>
      </x:c>
      <x:c r="F425" s="25" t="n">
        <x:v>0.014993061901377466</x:v>
      </x:c>
      <x:c r="G425" s="25" t="n">
        <x:v>0.5448479079575351</x:v>
      </x:c>
      <x:c r="H425" s="25" t="n">
        <x:v>0.005917138704447384</x:v>
      </x:c>
      <x:c r="I425" s="30" t="n">
        <x:v>0.04836944626833005</x:v>
      </x:c>
      <x:c r="J425" s="25" t="str">
        <x:v>DOCUMENT_COUNT</x:v>
      </x:c>
      <x:c r="K425" s="25" t="n">
        <x:v>2</x:v>
      </x:c>
      <x:c r="L425" s="35" t="b">
        <x:v>0</x:v>
      </x:c>
    </x:row>
    <x:row r="426" ht="19" customHeight="1">
      <x:c r="A426" s="25" t="n">
        <x:v>3</x:v>
      </x:c>
      <x:c r="B426" s="28" t="n">
        <x:v>95</x:v>
      </x:c>
      <x:c r="C426" s="25" t="n">
        <x:v>11</x:v>
      </x:c>
      <x:c r="D426" s="25" t="n">
        <x:v>84</x:v>
      </x:c>
      <x:c r="E426" s="25" t="n">
        <x:v>0.0005023796146837535</x:v>
      </x:c>
      <x:c r="F426" s="25" t="n">
        <x:v>0.0007784208210647443</x:v>
      </x:c>
      <x:c r="G426" s="25" t="n">
        <x:v>-0.43791124059317077</x:v>
      </x:c>
      <x:c r="H426" s="25" t="n">
        <x:v>0.00012088154714113518</x:v>
      </x:c>
      <x:c r="I426" s="30" t="n">
        <x:v>0.11578947368421053</x:v>
      </x:c>
      <x:c r="J426" s="25" t="str">
        <x:v>DOCUMENT_COUNT</x:v>
      </x:c>
      <x:c r="K426" s="25" t="n">
        <x:v>3</x:v>
      </x:c>
      <x:c r="L426" s="35" t="b">
        <x:v>1</x:v>
      </x:c>
    </x:row>
    <x:row r="427" ht="19" customHeight="1">
      <x:c r="A427" s="25" t="n">
        <x:v>4</x:v>
      </x:c>
      <x:c r="B427" s="28" t="n">
        <x:v>1</x:v>
      </x:c>
      <x:c r="C427" s="25" t="n">
        <x:v>1</x:v>
      </x:c>
      <x:c r="D427" s="25" t="n">
        <x:v>0</x:v>
      </x:c>
      <x:c r="E427" s="25" t="n">
        <x:v>0.0000029726604419157014</x:v>
      </x:c>
      <x:c r="F427" s="25" t="n">
        <x:v>0.0001015331505736623</x:v>
      </x:c>
      <x:c r="G427" s="25" t="n">
        <x:v>-3.5309280282552042</x:v>
      </x:c>
      <x:c r="H427" s="25" t="n">
        <x:v>0.00034800999708475453</x:v>
      </x:c>
      <x:c r="I427" s="30" t="n">
        <x:v>1</x:v>
      </x:c>
      <x:c r="J427" s="25" t="str">
        <x:v>DOCUMENT_COUNT</x:v>
      </x:c>
      <x:c r="K427" s="25" t="n">
        <x:v>4</x:v>
      </x:c>
      <x:c r="L427" s="35" t="b">
        <x:v>1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db449241d2b48d6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</x:cols>
  <x:sheetData>
    <x:row r="1" ht="27" customHeight="1">
      <x:c r="A1" s="12" t="str">
        <x:v>IV与筛选 | 拟合集</x:v>
      </x:c>
      <x:c r="B1" s="12"/>
      <x:c r="C1" s="12"/>
    </x:row>
    <x:row r="2" ht="32" customHeight="1">
      <x:c r="A2" s="15" t="str">
        <x:v>来源：outputs/phase2/feature_screening.csv；方差、IV、相关性及VIF过滤轨迹</x:v>
      </x:c>
      <x:c r="B2" s="15"/>
      <x:c r="C2" s="15"/>
    </x:row>
    <x:row r="4" ht="42" customHeight="1">
      <x:c r="A4" s="20" t="str">
        <x:v>feature</x:v>
      </x:c>
      <x:c r="B4" s="20" t="str">
        <x:v>iv</x:v>
      </x:c>
      <x:c r="C4" s="20" t="str">
        <x:v>decision</x:v>
      </x:c>
    </x:row>
    <x:row r="5" ht="19" customHeight="1">
      <x:c r="A5" s="25" t="str">
        <x:v>EXT_SOURCE_2</x:v>
      </x:c>
      <x:c r="B5" s="25" t="n">
        <x:v>0.28059838352549377</x:v>
      </x:c>
      <x:c r="C5" s="25" t="str">
        <x:v>selected</x:v>
      </x:c>
    </x:row>
    <x:row r="6" ht="19" customHeight="1">
      <x:c r="A6" s="25" t="str">
        <x:v>EMPLOYMENT_YEARS</x:v>
      </x:c>
      <x:c r="B6" s="25" t="n">
        <x:v>0.10452226998667163</x:v>
      </x:c>
      <x:c r="C6" s="25" t="str">
        <x:v>selected</x:v>
      </x:c>
    </x:row>
    <x:row r="7" ht="19" customHeight="1">
      <x:c r="A7" s="25" t="str">
        <x:v>OCCUPATION_TYPE</x:v>
      </x:c>
      <x:c r="B7" s="25" t="n">
        <x:v>0.07994949409937852</x:v>
      </x:c>
      <x:c r="C7" s="25" t="str">
        <x:v>selected</x:v>
      </x:c>
    </x:row>
    <x:row r="8" ht="19" customHeight="1">
      <x:c r="A8" s="25" t="str">
        <x:v>ORGANIZATION_TYPE</x:v>
      </x:c>
      <x:c r="B8" s="25" t="n">
        <x:v>0.07201889344492642</x:v>
      </x:c>
      <x:c r="C8" s="25" t="str">
        <x:v>selected</x:v>
      </x:c>
    </x:row>
    <x:row r="9" ht="19" customHeight="1">
      <x:c r="A9" s="25" t="str">
        <x:v>CREDIT_GOODS_RATIO</x:v>
      </x:c>
      <x:c r="B9" s="25" t="n">
        <x:v>0.06808051081569791</x:v>
      </x:c>
      <x:c r="C9" s="25" t="str">
        <x:v>selected</x:v>
      </x:c>
    </x:row>
    <x:row r="10" ht="19" customHeight="1">
      <x:c r="A10" s="25" t="str">
        <x:v>REGION_RATING_CLIENT_W_CITY</x:v>
      </x:c>
      <x:c r="B10" s="25" t="n">
        <x:v>0.050925487293240784</x:v>
      </x:c>
      <x:c r="C10" s="25" t="str">
        <x:v>selected</x:v>
      </x:c>
    </x:row>
    <x:row r="11" ht="19" customHeight="1">
      <x:c r="A11" s="25" t="str">
        <x:v>NAME_EDUCATION_TYPE</x:v>
      </x:c>
      <x:c r="B11" s="25" t="n">
        <x:v>0.05086083831823178</x:v>
      </x:c>
      <x:c r="C11" s="25" t="str">
        <x:v>selected</x:v>
      </x:c>
    </x:row>
    <x:row r="12" ht="19" customHeight="1">
      <x:c r="A12" s="25" t="str">
        <x:v>NAME_INCOME_TYPE</x:v>
      </x:c>
      <x:c r="B12" s="25" t="n">
        <x:v>0.05035145627739455</x:v>
      </x:c>
      <x:c r="C12" s="25" t="str">
        <x:v>selected</x:v>
      </x:c>
    </x:row>
    <x:row r="13" ht="19" customHeight="1">
      <x:c r="A13" s="25" t="str">
        <x:v>REGION_RATING_CLIENT</x:v>
      </x:c>
      <x:c r="B13" s="25" t="n">
        <x:v>0.047090960038286694</x:v>
      </x:c>
      <x:c r="C13" s="25" t="str">
        <x:v>correlation_with_REGION_RATING_CLIENT_W_CITY</x:v>
      </x:c>
    </x:row>
    <x:row r="14" ht="19" customHeight="1">
      <x:c r="A14" s="25" t="str">
        <x:v>AMT_GOODS_PRICE</x:v>
      </x:c>
      <x:c r="B14" s="25" t="n">
        <x:v>0.046460367161123235</x:v>
      </x:c>
      <x:c r="C14" s="25" t="str">
        <x:v>selected</x:v>
      </x:c>
    </x:row>
    <x:row r="15" ht="19" customHeight="1">
      <x:c r="A15" s="25" t="str">
        <x:v>ANNUITY_CREDIT_RATIO</x:v>
      </x:c>
      <x:c r="B15" s="25" t="n">
        <x:v>0.04405481264595907</x:v>
      </x:c>
      <x:c r="C15" s="25" t="str">
        <x:v>selected</x:v>
      </x:c>
    </x:row>
    <x:row r="16" ht="19" customHeight="1">
      <x:c r="A16" s="25" t="str">
        <x:v>PHONE_CHANGE_YEARS</x:v>
      </x:c>
      <x:c r="B16" s="25" t="n">
        <x:v>0.03917066491926509</x:v>
      </x:c>
      <x:c r="C16" s="25" t="str">
        <x:v>selected</x:v>
      </x:c>
    </x:row>
    <x:row r="17" ht="19" customHeight="1">
      <x:c r="A17" s="25" t="str">
        <x:v>AMT_CREDIT</x:v>
      </x:c>
      <x:c r="B17" s="25" t="n">
        <x:v>0.037601058358284575</x:v>
      </x:c>
      <x:c r="C17" s="25" t="str">
        <x:v>selected</x:v>
      </x:c>
    </x:row>
    <x:row r="18" ht="19" customHeight="1">
      <x:c r="A18" s="25" t="str">
        <x:v>ID_AGE_YEARS</x:v>
      </x:c>
      <x:c r="B18" s="25" t="n">
        <x:v>0.033967051458979707</x:v>
      </x:c>
      <x:c r="C18" s="25" t="str">
        <x:v>selected</x:v>
      </x:c>
    </x:row>
    <x:row r="19" ht="19" customHeight="1">
      <x:c r="A19" s="25" t="str">
        <x:v>EMPLOYED_SENTINEL</x:v>
      </x:c>
      <x:c r="B19" s="25" t="n">
        <x:v>0.03167517783722941</x:v>
      </x:c>
      <x:c r="C19" s="25" t="str">
        <x:v>selected</x:v>
      </x:c>
    </x:row>
    <x:row r="20" ht="19" customHeight="1">
      <x:c r="A20" s="25" t="str">
        <x:v>EMPLOYMENT_YEARS__MISSING</x:v>
      </x:c>
      <x:c r="B20" s="25" t="n">
        <x:v>0.03167517783722941</x:v>
      </x:c>
      <x:c r="C20" s="25" t="str">
        <x:v>correlation_with_EMPLOYED_SENTINEL</x:v>
      </x:c>
    </x:row>
    <x:row r="21" ht="19" customHeight="1">
      <x:c r="A21" s="25" t="str">
        <x:v>FLAG_EMP_PHONE</x:v>
      </x:c>
      <x:c r="B21" s="25" t="n">
        <x:v>0.03163166259255727</x:v>
      </x:c>
      <x:c r="C21" s="25" t="str">
        <x:v>correlation_with_EMPLOYED_SENTINEL</x:v>
      </x:c>
    </x:row>
    <x:row r="22" ht="19" customHeight="1">
      <x:c r="A22" s="25" t="str">
        <x:v>REG_CITY_NOT_WORK_CITY</x:v>
      </x:c>
      <x:c r="B22" s="25" t="n">
        <x:v>0.031104128671082226</x:v>
      </x:c>
      <x:c r="C22" s="25" t="str">
        <x:v>vif_over_5_or_singular</x:v>
      </x:c>
    </x:row>
    <x:row r="23" ht="19" customHeight="1">
      <x:c r="A23" s="25" t="str">
        <x:v>FLOORSMAX_AVG</x:v>
      </x:c>
      <x:c r="B23" s="25" t="n">
        <x:v>0.030896203921601896</x:v>
      </x:c>
      <x:c r="C23" s="25" t="str">
        <x:v>selected</x:v>
      </x:c>
    </x:row>
    <x:row r="24" ht="19" customHeight="1">
      <x:c r="A24" s="25" t="str">
        <x:v>FLAG_DOCUMENT_3</x:v>
      </x:c>
      <x:c r="B24" s="25" t="n">
        <x:v>0.027073252276290337</x:v>
      </x:c>
      <x:c r="C24" s="25" t="str">
        <x:v>selected</x:v>
      </x:c>
    </x:row>
    <x:row r="25" ht="19" customHeight="1">
      <x:c r="A25" s="25" t="str">
        <x:v>LIVINGAREA_AVG</x:v>
      </x:c>
      <x:c r="B25" s="25" t="n">
        <x:v>0.02677506018343508</x:v>
      </x:c>
      <x:c r="C25" s="25" t="str">
        <x:v>correlation_with_FLOORSMAX_AVG</x:v>
      </x:c>
    </x:row>
    <x:row r="26" ht="19" customHeight="1">
      <x:c r="A26" s="25" t="str">
        <x:v>APARTMENTS_AVG</x:v>
      </x:c>
      <x:c r="B26" s="25" t="n">
        <x:v>0.026474281093182145</x:v>
      </x:c>
      <x:c r="C26" s="25" t="str">
        <x:v>correlation_with_FLOORSMAX_AVG</x:v>
      </x:c>
    </x:row>
    <x:row r="27" ht="19" customHeight="1">
      <x:c r="A27" s="25" t="str">
        <x:v>ELEVATORS_AVG</x:v>
      </x:c>
      <x:c r="B27" s="25" t="n">
        <x:v>0.02625379533959509</x:v>
      </x:c>
      <x:c r="C27" s="25" t="str">
        <x:v>correlation_with_FLOORSMAX_AVG</x:v>
      </x:c>
    </x:row>
    <x:row r="28" ht="19" customHeight="1">
      <x:c r="A28" s="25" t="str">
        <x:v>REGION_POPULATION_RELATIVE</x:v>
      </x:c>
      <x:c r="B28" s="25" t="n">
        <x:v>0.024700842090161684</x:v>
      </x:c>
      <x:c r="C28" s="25" t="str">
        <x:v>selected</x:v>
      </x:c>
    </x:row>
    <x:row r="29" ht="19" customHeight="1">
      <x:c r="A29" s="25" t="str">
        <x:v>REG_CITY_NOT_LIVE_CITY</x:v>
      </x:c>
      <x:c r="B29" s="25" t="n">
        <x:v>0.02393877028314353</x:v>
      </x:c>
      <x:c r="C29" s="25" t="str">
        <x:v>selected</x:v>
      </x:c>
    </x:row>
    <x:row r="30" ht="19" customHeight="1">
      <x:c r="A30" s="25" t="str">
        <x:v>REGISTRATION_YEARS</x:v>
      </x:c>
      <x:c r="B30" s="25" t="n">
        <x:v>0.023533817606859467</x:v>
      </x:c>
      <x:c r="C30" s="25" t="str">
        <x:v>selected</x:v>
      </x:c>
    </x:row>
    <x:row r="31" ht="19" customHeight="1">
      <x:c r="A31" s="25" t="str">
        <x:v>YEARS_BEGINEXPLUATATION_AVG</x:v>
      </x:c>
      <x:c r="B31" s="25" t="n">
        <x:v>0.0234414155306094</x:v>
      </x:c>
      <x:c r="C31" s="25" t="str">
        <x:v>vif_over_5_or_singular</x:v>
      </x:c>
    </x:row>
    <x:row r="32" ht="19" customHeight="1">
      <x:c r="A32" s="25" t="str">
        <x:v>OWN_CAR_AGE</x:v>
      </x:c>
      <x:c r="B32" s="25" t="n">
        <x:v>0.02338327160798644</x:v>
      </x:c>
      <x:c r="C32" s="25" t="str">
        <x:v>selected</x:v>
      </x:c>
    </x:row>
    <x:row r="33" ht="19" customHeight="1">
      <x:c r="A33" s="25" t="str">
        <x:v>ENTRANCES_AVG</x:v>
      </x:c>
      <x:c r="B33" s="25" t="n">
        <x:v>0.02228734263162794</x:v>
      </x:c>
      <x:c r="C33" s="25" t="str">
        <x:v>vif_over_5_or_singular</x:v>
      </x:c>
    </x:row>
    <x:row r="34" ht="19" customHeight="1">
      <x:c r="A34" s="25" t="str">
        <x:v>DOCUMENT_COUNT</x:v>
      </x:c>
      <x:c r="B34" s="25" t="n">
        <x:v>0.021112284600500828</x:v>
      </x:c>
      <x:c r="C34" s="25" t="str">
        <x:v>selected</x:v>
      </x:c>
    </x:row>
    <x:row r="35" ht="19" customHeight="1">
      <x:c r="A35" s="25" t="str">
        <x:v>AMT_ANNUITY</x:v>
      </x:c>
      <x:c r="B35" s="25" t="n">
        <x:v>0.020560837375122244</x:v>
      </x:c>
      <x:c r="C35" s="25" t="str">
        <x:v>selected</x:v>
      </x:c>
    </x:row>
    <x:row r="36" ht="19" customHeight="1">
      <x:c r="A36" s="25" t="str">
        <x:v>AMT_REQ_CREDIT_BUREAU_YEAR</x:v>
      </x:c>
      <x:c r="B36" s="25" t="n">
        <x:v>0.019673180717765387</x:v>
      </x:c>
      <x:c r="C36" s="25" t="str">
        <x:v>selected</x:v>
      </x:c>
    </x:row>
    <x:row r="37" ht="19" customHeight="1">
      <x:c r="A37" s="25" t="str">
        <x:v>ELEVATORS_AVG__MISSING</x:v>
      </x:c>
      <x:c r="B37" s="25" t="n">
        <x:v>0.018662673513290498</x:v>
      </x:c>
      <x:c r="C37" s="25" t="str">
        <x:v>selected</x:v>
      </x:c>
    </x:row>
    <x:row r="38" ht="19" customHeight="1">
      <x:c r="A38" s="25" t="str">
        <x:v>FLOORSMAX_AVG__MISSING</x:v>
      </x:c>
      <x:c r="B38" s="25" t="n">
        <x:v>0.01861589461763246</x:v>
      </x:c>
      <x:c r="C38" s="25" t="str">
        <x:v>correlation_with_ELEVATORS_AVG__MISSING</x:v>
      </x:c>
    </x:row>
    <x:row r="39" ht="19" customHeight="1">
      <x:c r="A39" s="25" t="str">
        <x:v>ENTRANCES_AVG__MISSING</x:v>
      </x:c>
      <x:c r="B39" s="25" t="n">
        <x:v>0.018076625884769992</x:v>
      </x:c>
      <x:c r="C39" s="25" t="str">
        <x:v>correlation_with_ELEVATORS_AVG__MISSING</x:v>
      </x:c>
    </x:row>
    <x:row r="40" ht="19" customHeight="1">
      <x:c r="A40" s="25" t="str">
        <x:v>YEARS_BEGINEXPLUATATION_AVG__MISSING</x:v>
      </x:c>
      <x:c r="B40" s="25" t="n">
        <x:v>0.017976037426448384</x:v>
      </x:c>
      <x:c r="C40" s="25" t="str">
        <x:v>correlation_with_ELEVATORS_AVG__MISSING</x:v>
      </x:c>
    </x:row>
    <x:row r="41" ht="19" customHeight="1">
      <x:c r="A41" s="25" t="str">
        <x:v>NONLIVINGAREA_AVG</x:v>
      </x:c>
      <x:c r="B41" s="25" t="n">
        <x:v>0.017923958315573783</x:v>
      </x:c>
      <x:c r="C41" s="25" t="str">
        <x:v>correlation_with_ELEVATORS_AVG__MISSING</x:v>
      </x:c>
    </x:row>
    <x:row r="42" ht="19" customHeight="1">
      <x:c r="A42" s="25" t="str">
        <x:v>APARTMENTS_AVG__MISSING</x:v>
      </x:c>
      <x:c r="B42" s="25" t="n">
        <x:v>0.017783263964992968</x:v>
      </x:c>
      <x:c r="C42" s="25" t="str">
        <x:v>correlation_with_ELEVATORS_AVG__MISSING</x:v>
      </x:c>
    </x:row>
    <x:row r="43" ht="19" customHeight="1">
      <x:c r="A43" s="25" t="str">
        <x:v>NONLIVINGAREA_AVG__MISSING</x:v>
      </x:c>
      <x:c r="B43" s="25" t="n">
        <x:v>0.01649618769101678</x:v>
      </x:c>
      <x:c r="C43" s="25" t="str">
        <x:v>correlation_with_ELEVATORS_AVG__MISSING</x:v>
      </x:c>
    </x:row>
    <x:row r="44" ht="19" customHeight="1">
      <x:c r="A44" s="25" t="str">
        <x:v>BASEMENTAREA_AVG</x:v>
      </x:c>
      <x:c r="B44" s="25" t="n">
        <x:v>0.016412040846741856</x:v>
      </x:c>
      <x:c r="C44" s="25" t="str">
        <x:v>selected</x:v>
      </x:c>
    </x:row>
    <x:row r="45" ht="19" customHeight="1">
      <x:c r="A45" s="25" t="str">
        <x:v>LIVINGAREA_AVG__MISSING</x:v>
      </x:c>
      <x:c r="B45" s="25" t="n">
        <x:v>0.01637743180258188</x:v>
      </x:c>
      <x:c r="C45" s="25" t="str">
        <x:v>correlation_with_ELEVATORS_AVG__MISSING</x:v>
      </x:c>
    </x:row>
    <x:row r="46" ht="19" customHeight="1">
      <x:c r="A46" s="25" t="str">
        <x:v>AMT_REQ_CREDIT_BUREAU_QRT</x:v>
      </x:c>
      <x:c r="B46" s="25" t="n">
        <x:v>0.016185884402982884</x:v>
      </x:c>
      <x:c r="C46" s="25" t="str">
        <x:v>selected</x:v>
      </x:c>
    </x:row>
    <x:row r="47" ht="19" customHeight="1">
      <x:c r="A47" s="25" t="str">
        <x:v>AMT_REQ_CREDIT_BUREAU_HOUR</x:v>
      </x:c>
      <x:c r="B47" s="25" t="n">
        <x:v>0.015304113264365402</x:v>
      </x:c>
      <x:c r="C47" s="25" t="str">
        <x:v>correlation_with_AMT_REQ_CREDIT_BUREAU_QRT</x:v>
      </x:c>
    </x:row>
    <x:row r="48" ht="19" customHeight="1">
      <x:c r="A48" s="25" t="str">
        <x:v>AMT_REQ_CREDIT_BUREAU_DAY</x:v>
      </x:c>
      <x:c r="B48" s="25" t="n">
        <x:v>0.015241266293255541</x:v>
      </x:c>
      <x:c r="C48" s="25" t="str">
        <x:v>correlation_with_AMT_REQ_CREDIT_BUREAU_QRT</x:v>
      </x:c>
    </x:row>
    <x:row r="49" ht="19" customHeight="1">
      <x:c r="A49" s="25" t="str">
        <x:v>NAME_HOUSING_TYPE</x:v>
      </x:c>
      <x:c r="B49" s="25" t="n">
        <x:v>0.015175153157290074</x:v>
      </x:c>
      <x:c r="C49" s="25" t="str">
        <x:v>selected</x:v>
      </x:c>
    </x:row>
    <x:row r="50" ht="19" customHeight="1">
      <x:c r="A50" s="25" t="str">
        <x:v>AMT_REQ_CREDIT_BUREAU_MON</x:v>
      </x:c>
      <x:c r="B50" s="25" t="n">
        <x:v>0.015121202960477339</x:v>
      </x:c>
      <x:c r="C50" s="25" t="str">
        <x:v>correlation_with_AMT_REQ_CREDIT_BUREAU_QRT</x:v>
      </x:c>
    </x:row>
    <x:row r="51" ht="19" customHeight="1">
      <x:c r="A51" s="25" t="str">
        <x:v>AMT_REQ_CREDIT_BUREAU_WEEK</x:v>
      </x:c>
      <x:c r="B51" s="25" t="n">
        <x:v>0.015057117400372005</x:v>
      </x:c>
      <x:c r="C51" s="25" t="str">
        <x:v>correlation_with_AMT_REQ_CREDIT_BUREAU_QRT</x:v>
      </x:c>
    </x:row>
    <x:row r="52" ht="19" customHeight="1">
      <x:c r="A52" s="25" t="str">
        <x:v>AMT_REQ_CREDIT_BUREAU_HOUR__MISSING</x:v>
      </x:c>
      <x:c r="B52" s="25" t="n">
        <x:v>0.015031444520461701</x:v>
      </x:c>
      <x:c r="C52" s="25" t="str">
        <x:v>correlation_with_AMT_REQ_CREDIT_BUREAU_QRT</x:v>
      </x:c>
    </x:row>
    <x:row r="53" ht="19" customHeight="1">
      <x:c r="A53" s="25" t="str">
        <x:v>AMT_REQ_CREDIT_BUREAU_MON__MISSING</x:v>
      </x:c>
      <x:c r="B53" s="25" t="n">
        <x:v>0.015031444520461701</x:v>
      </x:c>
      <x:c r="C53" s="25" t="str">
        <x:v>correlation_with_AMT_REQ_CREDIT_BUREAU_QRT</x:v>
      </x:c>
    </x:row>
    <x:row r="54" ht="19" customHeight="1">
      <x:c r="A54" s="25" t="str">
        <x:v>AMT_REQ_CREDIT_BUREAU_QRT__MISSING</x:v>
      </x:c>
      <x:c r="B54" s="25" t="n">
        <x:v>0.015031444520461701</x:v>
      </x:c>
      <x:c r="C54" s="25" t="str">
        <x:v>correlation_with_AMT_REQ_CREDIT_BUREAU_QRT</x:v>
      </x:c>
    </x:row>
    <x:row r="55" ht="19" customHeight="1">
      <x:c r="A55" s="25" t="str">
        <x:v>AMT_REQ_CREDIT_BUREAU_WEEK__MISSING</x:v>
      </x:c>
      <x:c r="B55" s="25" t="n">
        <x:v>0.015031444520461701</x:v>
      </x:c>
      <x:c r="C55" s="25" t="str">
        <x:v>correlation_with_AMT_REQ_CREDIT_BUREAU_QRT</x:v>
      </x:c>
    </x:row>
    <x:row r="56" ht="19" customHeight="1">
      <x:c r="A56" s="25" t="str">
        <x:v>AMT_REQ_CREDIT_BUREAU_DAY__MISSING</x:v>
      </x:c>
      <x:c r="B56" s="25" t="n">
        <x:v>0.015031444520461701</x:v>
      </x:c>
      <x:c r="C56" s="25" t="str">
        <x:v>correlation_with_AMT_REQ_CREDIT_BUREAU_QRT</x:v>
      </x:c>
    </x:row>
    <x:row r="57" ht="19" customHeight="1">
      <x:c r="A57" s="25" t="str">
        <x:v>AMT_REQ_CREDIT_BUREAU_YEAR__MISSING</x:v>
      </x:c>
      <x:c r="B57" s="25" t="n">
        <x:v>0.015031444520461701</x:v>
      </x:c>
      <x:c r="C57" s="25" t="str">
        <x:v>correlation_with_AMT_REQ_CREDIT_BUREAU_QRT</x:v>
      </x:c>
    </x:row>
    <x:row r="58" ht="19" customHeight="1">
      <x:c r="A58" s="25" t="str">
        <x:v>FLOORSMIN_AVG</x:v>
      </x:c>
      <x:c r="B58" s="25" t="n">
        <x:v>0.014501281222085854</x:v>
      </x:c>
      <x:c r="C58" s="25" t="str">
        <x:v>selected</x:v>
      </x:c>
    </x:row>
    <x:row r="59" ht="19" customHeight="1">
      <x:c r="A59" s="25" t="str">
        <x:v>NAME_CONTRACT_TYPE</x:v>
      </x:c>
      <x:c r="B59" s="25" t="n">
        <x:v>0.013735105007789277</x:v>
      </x:c>
      <x:c r="C59" s="25" t="str">
        <x:v>selected</x:v>
      </x:c>
    </x:row>
    <x:row r="60" ht="19" customHeight="1">
      <x:c r="A60" s="25" t="str">
        <x:v>BASEMENTAREA_AVG__MISSING</x:v>
      </x:c>
      <x:c r="B60" s="25" t="n">
        <x:v>0.013623159220419716</x:v>
      </x:c>
      <x:c r="C60" s="25" t="str">
        <x:v>correlation_with_BASEMENTAREA_AVG</x:v>
      </x:c>
    </x:row>
    <x:row r="61" ht="19" customHeight="1">
      <x:c r="A61" s="25" t="str">
        <x:v>LIVE_CITY_NOT_WORK_CITY</x:v>
      </x:c>
      <x:c r="B61" s="25" t="n">
        <x:v>0.013594120462832752</x:v>
      </x:c>
      <x:c r="C61" s="25" t="str">
        <x:v>selected</x:v>
      </x:c>
    </x:row>
    <x:row r="62" ht="19" customHeight="1">
      <x:c r="A62" s="25" t="str">
        <x:v>YEARS_BUILD_AVG</x:v>
      </x:c>
      <x:c r="B62" s="25" t="n">
        <x:v>0.012845755556313216</x:v>
      </x:c>
      <x:c r="C62" s="25" t="str">
        <x:v>selected</x:v>
      </x:c>
    </x:row>
    <x:row r="63" ht="19" customHeight="1">
      <x:c r="A63" s="25" t="str">
        <x:v>LIVINGAPARTMENTS_AVG</x:v>
      </x:c>
      <x:c r="B63" s="25" t="n">
        <x:v>0.012569886381761144</x:v>
      </x:c>
      <x:c r="C63" s="25" t="str">
        <x:v>selected</x:v>
      </x:c>
    </x:row>
    <x:row r="64" ht="19" customHeight="1">
      <x:c r="A64" s="25" t="str">
        <x:v>DEF_30_CNT_SOCIAL_CIRCLE</x:v>
      </x:c>
      <x:c r="B64" s="25" t="n">
        <x:v>0.01255006601127676</x:v>
      </x:c>
      <x:c r="C64" s="25" t="str">
        <x:v>selected</x:v>
      </x:c>
    </x:row>
    <x:row r="65" ht="19" customHeight="1">
      <x:c r="A65" s="25" t="str">
        <x:v>LANDAREA_AVG</x:v>
      </x:c>
      <x:c r="B65" s="25" t="n">
        <x:v>0.012072878294838947</x:v>
      </x:c>
      <x:c r="C65" s="25" t="str">
        <x:v>selected</x:v>
      </x:c>
    </x:row>
    <x:row r="66" ht="19" customHeight="1">
      <x:c r="A66" s="25" t="str">
        <x:v>DEF_60_CNT_SOCIAL_CIRCLE</x:v>
      </x:c>
      <x:c r="B66" s="25" t="n">
        <x:v>0.010902961819240893</x:v>
      </x:c>
      <x:c r="C66" s="25" t="str">
        <x:v>selected</x:v>
      </x:c>
    </x:row>
    <x:row r="67" ht="19" customHeight="1">
      <x:c r="A67" s="25" t="str">
        <x:v>LANDAREA_AVG__MISSING</x:v>
      </x:c>
      <x:c r="B67" s="25" t="n">
        <x:v>0.010860995117500351</x:v>
      </x:c>
      <x:c r="C67" s="25" t="str">
        <x:v>correlation_with_LANDAREA_AVG</x:v>
      </x:c>
    </x:row>
    <x:row r="68" ht="19" customHeight="1">
      <x:c r="A68" s="25" t="str">
        <x:v>FLAG_DOCUMENT_6</x:v>
      </x:c>
      <x:c r="B68" s="25" t="n">
        <x:v>0.01080428830305939</x:v>
      </x:c>
      <x:c r="C68" s="25" t="str">
        <x:v>selected</x:v>
      </x:c>
    </x:row>
    <x:row r="69" ht="19" customHeight="1">
      <x:c r="A69" s="25" t="str">
        <x:v>COMMONAREA_AVG</x:v>
      </x:c>
      <x:c r="B69" s="25" t="n">
        <x:v>0.010402644317417437</x:v>
      </x:c>
      <x:c r="C69" s="25" t="str">
        <x:v>selected</x:v>
      </x:c>
    </x:row>
    <x:row r="70" ht="19" customHeight="1">
      <x:c r="A70" s="25" t="str">
        <x:v>FLAG_WORK_PHONE</x:v>
      </x:c>
      <x:c r="B70" s="25" t="n">
        <x:v>0.010342684615064324</x:v>
      </x:c>
      <x:c r="C70" s="25" t="str">
        <x:v>selected</x:v>
      </x:c>
    </x:row>
    <x:row r="71" ht="19" customHeight="1">
      <x:c r="A71" s="25" t="str">
        <x:v>AMT_INCOME_TOTAL</x:v>
      </x:c>
      <x:c r="B71" s="25" t="n">
        <x:v>0.010012994784894837</x:v>
      </x:c>
      <x:c r="C71" s="25" t="str">
        <x:v>selected</x:v>
      </x:c>
    </x:row>
    <x:row r="72" ht="19" customHeight="1">
      <x:c r="A72" s="25" t="str">
        <x:v>YEARS_BUILD_AVG__MISSING</x:v>
      </x:c>
      <x:c r="B72" s="25" t="n">
        <x:v>0.009964368849890957</x:v>
      </x:c>
      <x:c r="C72" s="25" t="str">
        <x:v>correlation_with_YEARS_BUILD_AVG</x:v>
      </x:c>
    </x:row>
    <x:row r="73" ht="19" customHeight="1">
      <x:c r="A73" s="25" t="str">
        <x:v>HOUR_APPR_PROCESS_START</x:v>
      </x:c>
      <x:c r="B73" s="25" t="n">
        <x:v>0.009472636007917572</x:v>
      </x:c>
      <x:c r="C73" s="25" t="str">
        <x:v>selected</x:v>
      </x:c>
    </x:row>
    <x:row r="74" ht="19" customHeight="1">
      <x:c r="A74" s="25" t="str">
        <x:v>FLOORSMIN_AVG__MISSING</x:v>
      </x:c>
      <x:c r="B74" s="25" t="n">
        <x:v>0.009211166905582841</x:v>
      </x:c>
      <x:c r="C74" s="25" t="str">
        <x:v>vif_over_5_or_singular</x:v>
      </x:c>
    </x:row>
    <x:row r="75" ht="19" customHeight="1">
      <x:c r="A75" s="25" t="str">
        <x:v>LIVINGAPARTMENTS_AVG__MISSING</x:v>
      </x:c>
      <x:c r="B75" s="25" t="n">
        <x:v>0.008204673369768916</x:v>
      </x:c>
      <x:c r="C75" s="25" t="str">
        <x:v>correlation_with_FLOORSMIN_AVG__MISSING</x:v>
      </x:c>
    </x:row>
    <x:row r="76" ht="19" customHeight="1">
      <x:c r="A76" s="25" t="str">
        <x:v>NONLIVINGAPARTMENTS_AVG</x:v>
      </x:c>
      <x:c r="B76" s="25" t="n">
        <x:v>0.007750733165962628</x:v>
      </x:c>
      <x:c r="C76" s="25" t="str">
        <x:v>correlation_with_FLOORSMIN_AVG__MISSING</x:v>
      </x:c>
    </x:row>
    <x:row r="77" ht="19" customHeight="1">
      <x:c r="A77" s="25" t="str">
        <x:v>CREDIT_INCOME_RATIO</x:v>
      </x:c>
      <x:c r="B77" s="25" t="n">
        <x:v>0.0076071014648412955</x:v>
      </x:c>
      <x:c r="C77" s="25" t="str">
        <x:v>selected</x:v>
      </x:c>
    </x:row>
    <x:row r="78" ht="19" customHeight="1">
      <x:c r="A78" s="25" t="str">
        <x:v>COMMONAREA_AVG__MISSING</x:v>
      </x:c>
      <x:c r="B78" s="25" t="n">
        <x:v>0.007595038966982185</x:v>
      </x:c>
      <x:c r="C78" s="25" t="str">
        <x:v>feature_count_cap</x:v>
      </x:c>
    </x:row>
    <x:row r="79" ht="19" customHeight="1">
      <x:c r="A79" s="25" t="str">
        <x:v>FLAG_PHONE</x:v>
      </x:c>
      <x:c r="B79" s="25" t="n">
        <x:v>0.007469843568257984</x:v>
      </x:c>
      <x:c r="C79" s="25" t="str">
        <x:v>feature_count_cap</x:v>
      </x:c>
    </x:row>
    <x:row r="80" ht="19" customHeight="1">
      <x:c r="A80" s="25" t="str">
        <x:v>NONLIVINGAPARTMENTS_AVG__MISSING</x:v>
      </x:c>
      <x:c r="B80" s="25" t="n">
        <x:v>0.007429612997674952</x:v>
      </x:c>
      <x:c r="C80" s="25" t="str">
        <x:v>feature_count_cap</x:v>
      </x:c>
    </x:row>
    <x:row r="81" ht="19" customHeight="1">
      <x:c r="A81" s="25" t="str">
        <x:v>FLAG_OWN_CAR</x:v>
      </x:c>
      <x:c r="B81" s="25" t="n">
        <x:v>0.005282131357694186</x:v>
      </x:c>
      <x:c r="C81" s="25" t="str">
        <x:v>feature_count_cap</x:v>
      </x:c>
    </x:row>
    <x:row r="82" ht="19" customHeight="1">
      <x:c r="A82" s="25" t="str">
        <x:v>OWN_CAR_AGE__MISSING</x:v>
      </x:c>
      <x:c r="B82" s="25" t="n">
        <x:v>0.0052754968688680254</x:v>
      </x:c>
      <x:c r="C82" s="25" t="str">
        <x:v>feature_count_cap</x:v>
      </x:c>
    </x:row>
    <x:row r="83" ht="19" customHeight="1">
      <x:c r="A83" s="25" t="str">
        <x:v>ANNUITY_INCOME_RATIO</x:v>
      </x:c>
      <x:c r="B83" s="25" t="n">
        <x:v>0.004480811964576964</x:v>
      </x:c>
      <x:c r="C83" s="25" t="str">
        <x:v>iv_below_0.005</x:v>
      </x:c>
    </x:row>
    <x:row r="84" ht="19" customHeight="1">
      <x:c r="A84" s="25" t="str">
        <x:v>INCOME_PER_MEMBER</x:v>
      </x:c>
      <x:c r="B84" s="25" t="n">
        <x:v>0.0038640329062766153</x:v>
      </x:c>
      <x:c r="C84" s="25" t="str">
        <x:v>iv_below_0.005</x:v>
      </x:c>
    </x:row>
    <x:row r="85" ht="19" customHeight="1">
      <x:c r="A85" s="25" t="str">
        <x:v>CNT_FAM_MEMBERS</x:v>
      </x:c>
      <x:c r="B85" s="25" t="n">
        <x:v>0.0031421118790531163</x:v>
      </x:c>
      <x:c r="C85" s="25" t="str">
        <x:v>iv_below_0.005</x:v>
      </x:c>
    </x:row>
    <x:row r="86" ht="19" customHeight="1">
      <x:c r="A86" s="25" t="str">
        <x:v>FLAG_DOCUMENT_13</x:v>
      </x:c>
      <x:c r="B86" s="25" t="n">
        <x:v>0.0025506871129006414</x:v>
      </x:c>
      <x:c r="C86" s="25" t="str">
        <x:v>iv_below_0.005</x:v>
      </x:c>
    </x:row>
    <x:row r="87" ht="19" customHeight="1">
      <x:c r="A87" s="25" t="str">
        <x:v>FLAG_DOCUMENT_16</x:v>
      </x:c>
      <x:c r="B87" s="25" t="n">
        <x:v>0.002271437013994273</x:v>
      </x:c>
      <x:c r="C87" s="25" t="str">
        <x:v>iv_below_0.005</x:v>
      </x:c>
    </x:row>
    <x:row r="88" ht="19" customHeight="1">
      <x:c r="A88" s="25" t="str">
        <x:v>NAME_TYPE_SUITE</x:v>
      </x:c>
      <x:c r="B88" s="25" t="n">
        <x:v>0.0022610648313845312</x:v>
      </x:c>
      <x:c r="C88" s="25" t="str">
        <x:v>iv_below_0.005</x:v>
      </x:c>
    </x:row>
    <x:row r="89" ht="19" customHeight="1">
      <x:c r="A89" s="25" t="str">
        <x:v>OBS_30_CNT_SOCIAL_CIRCLE</x:v>
      </x:c>
      <x:c r="B89" s="25" t="n">
        <x:v>0.0019997439924516846</x:v>
      </x:c>
      <x:c r="C89" s="25" t="str">
        <x:v>iv_below_0.005</x:v>
      </x:c>
    </x:row>
    <x:row r="90" ht="19" customHeight="1">
      <x:c r="A90" s="25" t="str">
        <x:v>OBS_60_CNT_SOCIAL_CIRCLE</x:v>
      </x:c>
      <x:c r="B90" s="25" t="n">
        <x:v>0.001959533329878059</x:v>
      </x:c>
      <x:c r="C90" s="25" t="str">
        <x:v>iv_below_0.005</x:v>
      </x:c>
    </x:row>
    <x:row r="91" ht="19" customHeight="1">
      <x:c r="A91" s="25" t="str">
        <x:v>FLAG_DOCUMENT_14</x:v>
      </x:c>
      <x:c r="B91" s="25" t="n">
        <x:v>0.0012511094452927545</x:v>
      </x:c>
      <x:c r="C91" s="25" t="str">
        <x:v>iv_below_0.005</x:v>
      </x:c>
    </x:row>
    <x:row r="92" ht="19" customHeight="1">
      <x:c r="A92" s="25" t="str">
        <x:v>FLAG_DOCUMENT_15</x:v>
      </x:c>
      <x:c r="B92" s="25" t="n">
        <x:v>0.001035855498972767</x:v>
      </x:c>
      <x:c r="C92" s="25" t="str">
        <x:v>iv_below_0.005</x:v>
      </x:c>
    </x:row>
    <x:row r="93" ht="19" customHeight="1">
      <x:c r="A93" s="25" t="str">
        <x:v>WEEKDAY_APPR_PROCESS_START</x:v>
      </x:c>
      <x:c r="B93" s="25" t="n">
        <x:v>0.0010073217392246824</x:v>
      </x:c>
      <x:c r="C93" s="25" t="str">
        <x:v>iv_below_0.005</x:v>
      </x:c>
    </x:row>
    <x:row r="94" ht="19" customHeight="1">
      <x:c r="A94" s="25" t="str">
        <x:v>FLAG_DOCUMENT_8</x:v>
      </x:c>
      <x:c r="B94" s="25" t="n">
        <x:v>0.0008961126687934097</x:v>
      </x:c>
      <x:c r="C94" s="25" t="str">
        <x:v>iv_below_0.005</x:v>
      </x:c>
    </x:row>
    <x:row r="95" ht="19" customHeight="1">
      <x:c r="A95" s="25" t="str">
        <x:v>FLAG_DOCUMENT_18</x:v>
      </x:c>
      <x:c r="B95" s="25" t="n">
        <x:v>0.000737471687408157</x:v>
      </x:c>
      <x:c r="C95" s="25" t="str">
        <x:v>iv_below_0.005</x:v>
      </x:c>
    </x:row>
    <x:row r="96" ht="19" customHeight="1">
      <x:c r="A96" s="25" t="str">
        <x:v>FLAG_DOCUMENT_9</x:v>
      </x:c>
      <x:c r="B96" s="25" t="n">
        <x:v>0.0006600694928381374</x:v>
      </x:c>
      <x:c r="C96" s="25" t="str">
        <x:v>iv_below_0.005</x:v>
      </x:c>
    </x:row>
    <x:row r="97" ht="19" customHeight="1">
      <x:c r="A97" s="25" t="str">
        <x:v>REG_REGION_NOT_WORK_REGION</x:v>
      </x:c>
      <x:c r="B97" s="25" t="n">
        <x:v>0.00041307335196051</x:v>
      </x:c>
      <x:c r="C97" s="25" t="str">
        <x:v>iv_below_0.005</x:v>
      </x:c>
    </x:row>
    <x:row r="98" ht="19" customHeight="1">
      <x:c r="A98" s="25" t="str">
        <x:v>REG_REGION_NOT_LIVE_REGION</x:v>
      </x:c>
      <x:c r="B98" s="25" t="n">
        <x:v>0.000277648542985658</x:v>
      </x:c>
      <x:c r="C98" s="25" t="str">
        <x:v>iv_below_0.005</x:v>
      </x:c>
    </x:row>
    <x:row r="99" ht="19" customHeight="1">
      <x:c r="A99" s="25" t="str">
        <x:v>FLAG_DOCUMENT_2</x:v>
      </x:c>
      <x:c r="B99" s="25" t="n">
        <x:v>0.0002342361524768737</x:v>
      </x:c>
      <x:c r="C99" s="25" t="str">
        <x:v>iv_below_0.005</x:v>
      </x:c>
    </x:row>
    <x:row r="100" ht="19" customHeight="1">
      <x:c r="A100" s="25" t="str">
        <x:v>FLAG_DOCUMENT_21</x:v>
      </x:c>
      <x:c r="B100" s="25" t="n">
        <x:v>0.00019151404862791406</x:v>
      </x:c>
      <x:c r="C100" s="25" t="str">
        <x:v>iv_below_0.005</x:v>
      </x:c>
    </x:row>
    <x:row r="101" ht="19" customHeight="1">
      <x:c r="A101" s="25" t="str">
        <x:v>FLAG_DOCUMENT_11</x:v>
      </x:c>
      <x:c r="B101" s="25" t="n">
        <x:v>0.00018111987856972374</x:v>
      </x:c>
      <x:c r="C101" s="25" t="str">
        <x:v>iv_below_0.005</x:v>
      </x:c>
    </x:row>
    <x:row r="102" ht="19" customHeight="1">
      <x:c r="A102" s="25" t="str">
        <x:v>FLAG_DOCUMENT_17</x:v>
      </x:c>
      <x:c r="B102" s="25" t="n">
        <x:v>0.0001565510258101003</x:v>
      </x:c>
      <x:c r="C102" s="25" t="str">
        <x:v>iv_below_0.005</x:v>
      </x:c>
    </x:row>
    <x:row r="103" ht="19" customHeight="1">
      <x:c r="A103" s="25" t="str">
        <x:v>FLAG_DOCUMENT_20</x:v>
      </x:c>
      <x:c r="B103" s="25" t="n">
        <x:v>0.00009464201350792815</x:v>
      </x:c>
      <x:c r="C103" s="25" t="str">
        <x:v>iv_below_0.005</x:v>
      </x:c>
    </x:row>
    <x:row r="104" ht="19" customHeight="1">
      <x:c r="A104" s="25" t="str">
        <x:v>FLAG_CONT_MOBILE</x:v>
      </x:c>
      <x:c r="B104" s="25" t="n">
        <x:v>0.000081717374703843</x:v>
      </x:c>
      <x:c r="C104" s="25" t="str">
        <x:v>iv_below_0.005</x:v>
      </x:c>
    </x:row>
    <x:row r="105" ht="19" customHeight="1">
      <x:c r="A105" s="25" t="str">
        <x:v>FLAG_EMAIL</x:v>
      </x:c>
      <x:c r="B105" s="25" t="n">
        <x:v>0.00007545040787579178</x:v>
      </x:c>
      <x:c r="C105" s="25" t="str">
        <x:v>iv_below_0.005</x:v>
      </x:c>
    </x:row>
    <x:row r="106" ht="19" customHeight="1">
      <x:c r="A106" s="25" t="str">
        <x:v>FLAG_DOCUMENT_4</x:v>
      </x:c>
      <x:c r="B106" s="25" t="n">
        <x:v>0.00007091467583376397</x:v>
      </x:c>
      <x:c r="C106" s="25" t="str">
        <x:v>iv_below_0.005</x:v>
      </x:c>
    </x:row>
    <x:row r="107" ht="19" customHeight="1">
      <x:c r="A107" s="25" t="str">
        <x:v>FLAG_DOCUMENT_5</x:v>
      </x:c>
      <x:c r="B107" s="25" t="n">
        <x:v>0.00006135609239041747</x:v>
      </x:c>
      <x:c r="C107" s="25" t="str">
        <x:v>iv_below_0.005</x:v>
      </x:c>
    </x:row>
    <x:row r="108" ht="19" customHeight="1">
      <x:c r="A108" s="25" t="str">
        <x:v>FLAG_DOCUMENT_19</x:v>
      </x:c>
      <x:c r="B108" s="25" t="n">
        <x:v>0.00005144301886070166</x:v>
      </x:c>
      <x:c r="C108" s="25" t="str">
        <x:v>iv_below_0.005</x:v>
      </x:c>
    </x:row>
    <x:row r="109" ht="19" customHeight="1">
      <x:c r="A109" s="25" t="str">
        <x:v>FLAG_OWN_REALTY</x:v>
      </x:c>
      <x:c r="B109" s="25" t="n">
        <x:v>0.00004256949480327011</x:v>
      </x:c>
      <x:c r="C109" s="25" t="str">
        <x:v>iv_below_0.005</x:v>
      </x:c>
    </x:row>
    <x:row r="110" ht="19" customHeight="1">
      <x:c r="A110" s="25" t="str">
        <x:v>FLAG_MOBIL</x:v>
      </x:c>
      <x:c r="B110" s="25" t="n">
        <x:v>0.000040378626272252345</x:v>
      </x:c>
      <x:c r="C110" s="25" t="str">
        <x:v>iv_below_0.005</x:v>
      </x:c>
    </x:row>
    <x:row r="111" ht="19" customHeight="1">
      <x:c r="A111" s="25" t="str">
        <x:v>LIVE_REGION_NOT_WORK_REGION</x:v>
      </x:c>
      <x:c r="B111" s="25" t="n">
        <x:v>0.000035404798196649945</x:v>
      </x:c>
      <x:c r="C111" s="25" t="str">
        <x:v>iv_below_0.005</x:v>
      </x:c>
    </x:row>
    <x:row r="112" ht="19" customHeight="1">
      <x:c r="A112" s="25" t="str">
        <x:v>FLAG_DOCUMENT_10</x:v>
      </x:c>
      <x:c r="B112" s="25" t="n">
        <x:v>0.00001897285648354918</x:v>
      </x:c>
      <x:c r="C112" s="25" t="str">
        <x:v>iv_below_0.005</x:v>
      </x:c>
    </x:row>
    <x:row r="113" ht="19" customHeight="1">
      <x:c r="A113" s="25" t="str">
        <x:v>FLAG_DOCUMENT_7</x:v>
      </x:c>
      <x:c r="B113" s="25" t="n">
        <x:v>0.000006874608043402814</x:v>
      </x:c>
      <x:c r="C113" s="25" t="str">
        <x:v>iv_below_0.005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2ef6d5156c7a4d10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8" hidden="0" customWidth="1"/>
  </x:cols>
  <x:sheetData>
    <x:row r="1" ht="27" customHeight="1">
      <x:c r="A1" s="12" t="str">
        <x:v>VIF检查 | 拟合集</x:v>
      </x:c>
      <x:c r="B1" s="12"/>
    </x:row>
    <x:row r="2" ht="32" customHeight="1">
      <x:c r="A2" s="15" t="str">
        <x:v>来源：outputs/phase2/vif_selected_fit.csv；逻辑回归特征共线性检查</x:v>
      </x:c>
      <x:c r="B2" s="15"/>
    </x:row>
    <x:row r="4" ht="42" customHeight="1">
      <x:c r="A4" s="20" t="str">
        <x:v>feature</x:v>
      </x:c>
      <x:c r="B4" s="20" t="str">
        <x:v>vif</x:v>
      </x:c>
    </x:row>
    <x:row r="5" ht="19" customHeight="1">
      <x:c r="A5" s="25" t="str">
        <x:v>EXT_SOURCE_2</x:v>
      </x:c>
      <x:c r="B5" s="25" t="n">
        <x:v>1.1997044493607962</x:v>
      </x:c>
    </x:row>
    <x:row r="6" ht="19" customHeight="1">
      <x:c r="A6" s="25" t="str">
        <x:v>EMPLOYMENT_YEARS</x:v>
      </x:c>
      <x:c r="B6" s="25" t="n">
        <x:v>1.575372040801386</x:v>
      </x:c>
    </x:row>
    <x:row r="7" ht="19" customHeight="1">
      <x:c r="A7" s="25" t="str">
        <x:v>OCCUPATION_TYPE</x:v>
      </x:c>
      <x:c r="B7" s="25" t="n">
        <x:v>1.3457881284041087</x:v>
      </x:c>
    </x:row>
    <x:row r="8" ht="19" customHeight="1">
      <x:c r="A8" s="25" t="str">
        <x:v>ORGANIZATION_TYPE</x:v>
      </x:c>
      <x:c r="B8" s="25" t="n">
        <x:v>2.055489032180969</x:v>
      </x:c>
    </x:row>
    <x:row r="9" ht="19" customHeight="1">
      <x:c r="A9" s="25" t="str">
        <x:v>CREDIT_GOODS_RATIO</x:v>
      </x:c>
      <x:c r="B9" s="25" t="n">
        <x:v>1.169387277382276</x:v>
      </x:c>
    </x:row>
    <x:row r="10" ht="19" customHeight="1">
      <x:c r="A10" s="25" t="str">
        <x:v>REGION_RATING_CLIENT_W_CITY</x:v>
      </x:c>
      <x:c r="B10" s="25" t="n">
        <x:v>1.7473907216402524</x:v>
      </x:c>
    </x:row>
    <x:row r="11" ht="19" customHeight="1">
      <x:c r="A11" s="25" t="str">
        <x:v>NAME_EDUCATION_TYPE</x:v>
      </x:c>
      <x:c r="B11" s="25" t="n">
        <x:v>1.2144759794219833</x:v>
      </x:c>
    </x:row>
    <x:row r="12" ht="19" customHeight="1">
      <x:c r="A12" s="25" t="str">
        <x:v>NAME_INCOME_TYPE</x:v>
      </x:c>
      <x:c r="B12" s="25" t="n">
        <x:v>3.163004053143918</x:v>
      </x:c>
    </x:row>
    <x:row r="13" ht="19" customHeight="1">
      <x:c r="A13" s="25" t="str">
        <x:v>AMT_GOODS_PRICE</x:v>
      </x:c>
      <x:c r="B13" s="25" t="n">
        <x:v>3.894356157393513</x:v>
      </x:c>
    </x:row>
    <x:row r="14" ht="19" customHeight="1">
      <x:c r="A14" s="25" t="str">
        <x:v>ANNUITY_CREDIT_RATIO</x:v>
      </x:c>
      <x:c r="B14" s="25" t="n">
        <x:v>1.3836719980806689</x:v>
      </x:c>
    </x:row>
    <x:row r="15" ht="19" customHeight="1">
      <x:c r="A15" s="25" t="str">
        <x:v>PHONE_CHANGE_YEARS</x:v>
      </x:c>
      <x:c r="B15" s="25" t="n">
        <x:v>1.0867385734576493</x:v>
      </x:c>
    </x:row>
    <x:row r="16" ht="19" customHeight="1">
      <x:c r="A16" s="25" t="str">
        <x:v>AMT_CREDIT</x:v>
      </x:c>
      <x:c r="B16" s="25" t="n">
        <x:v>3.8225404826098517</x:v>
      </x:c>
    </x:row>
    <x:row r="17" ht="19" customHeight="1">
      <x:c r="A17" s="25" t="str">
        <x:v>ID_AGE_YEARS</x:v>
      </x:c>
      <x:c r="B17" s="25" t="n">
        <x:v>1.1205181339168822</x:v>
      </x:c>
    </x:row>
    <x:row r="18" ht="19" customHeight="1">
      <x:c r="A18" s="25" t="str">
        <x:v>EMPLOYED_SENTINEL</x:v>
      </x:c>
      <x:c r="B18" s="25" t="n">
        <x:v>4.3865615858973745</x:v>
      </x:c>
    </x:row>
    <x:row r="19" ht="19" customHeight="1">
      <x:c r="A19" s="25" t="str">
        <x:v>FLOORSMAX_AVG</x:v>
      </x:c>
      <x:c r="B19" s="25" t="n">
        <x:v>3.5638304064146302</x:v>
      </x:c>
    </x:row>
    <x:row r="20" ht="19" customHeight="1">
      <x:c r="A20" s="25" t="str">
        <x:v>FLAG_DOCUMENT_3</x:v>
      </x:c>
      <x:c r="B20" s="25" t="n">
        <x:v>2.246171213825221</x:v>
      </x:c>
    </x:row>
    <x:row r="21" ht="19" customHeight="1">
      <x:c r="A21" s="25" t="str">
        <x:v>REGION_POPULATION_RELATIVE</x:v>
      </x:c>
      <x:c r="B21" s="25" t="n">
        <x:v>1.5661765968170722</x:v>
      </x:c>
    </x:row>
    <x:row r="22" ht="19" customHeight="1">
      <x:c r="A22" s="25" t="str">
        <x:v>REG_CITY_NOT_LIVE_CITY</x:v>
      </x:c>
      <x:c r="B22" s="25" t="n">
        <x:v>1.0782499671314325</x:v>
      </x:c>
    </x:row>
    <x:row r="23" ht="19" customHeight="1">
      <x:c r="A23" s="25" t="str">
        <x:v>REGISTRATION_YEARS</x:v>
      </x:c>
      <x:c r="B23" s="25" t="n">
        <x:v>1.0915512025865586</x:v>
      </x:c>
    </x:row>
    <x:row r="24" ht="19" customHeight="1">
      <x:c r="A24" s="25" t="str">
        <x:v>OWN_CAR_AGE</x:v>
      </x:c>
      <x:c r="B24" s="25" t="n">
        <x:v>1.0741209550884523</x:v>
      </x:c>
    </x:row>
    <x:row r="25" ht="19" customHeight="1">
      <x:c r="A25" s="25" t="str">
        <x:v>DOCUMENT_COUNT</x:v>
      </x:c>
      <x:c r="B25" s="25" t="n">
        <x:v>2.205608528699516</x:v>
      </x:c>
    </x:row>
    <x:row r="26" ht="19" customHeight="1">
      <x:c r="A26" s="25" t="str">
        <x:v>AMT_ANNUITY</x:v>
      </x:c>
      <x:c r="B26" s="25" t="n">
        <x:v>1.2362340307633204</x:v>
      </x:c>
    </x:row>
    <x:row r="27" ht="19" customHeight="1">
      <x:c r="A27" s="25" t="str">
        <x:v>AMT_REQ_CREDIT_BUREAU_YEAR</x:v>
      </x:c>
      <x:c r="B27" s="25" t="n">
        <x:v>3.0507924096659793</x:v>
      </x:c>
    </x:row>
    <x:row r="28" ht="19" customHeight="1">
      <x:c r="A28" s="25" t="str">
        <x:v>ELEVATORS_AVG__MISSING</x:v>
      </x:c>
      <x:c r="B28" s="25" t="n">
        <x:v>4.050663425586284</x:v>
      </x:c>
    </x:row>
    <x:row r="29" ht="19" customHeight="1">
      <x:c r="A29" s="25" t="str">
        <x:v>BASEMENTAREA_AVG</x:v>
      </x:c>
      <x:c r="B29" s="25" t="n">
        <x:v>3.9669791013954443</x:v>
      </x:c>
    </x:row>
    <x:row r="30" ht="19" customHeight="1">
      <x:c r="A30" s="25" t="str">
        <x:v>AMT_REQ_CREDIT_BUREAU_QRT</x:v>
      </x:c>
      <x:c r="B30" s="25" t="n">
        <x:v>3.0539946610000372</x:v>
      </x:c>
    </x:row>
    <x:row r="31" ht="19" customHeight="1">
      <x:c r="A31" s="25" t="str">
        <x:v>NAME_HOUSING_TYPE</x:v>
      </x:c>
      <x:c r="B31" s="25" t="n">
        <x:v>1.0503652586422094</x:v>
      </x:c>
    </x:row>
    <x:row r="32" ht="19" customHeight="1">
      <x:c r="A32" s="25" t="str">
        <x:v>FLOORSMIN_AVG</x:v>
      </x:c>
      <x:c r="B32" s="25" t="n">
        <x:v>3.4884054945607414</x:v>
      </x:c>
    </x:row>
    <x:row r="33" ht="19" customHeight="1">
      <x:c r="A33" s="25" t="str">
        <x:v>NAME_CONTRACT_TYPE</x:v>
      </x:c>
      <x:c r="B33" s="25" t="n">
        <x:v>2.8209629834772367</x:v>
      </x:c>
    </x:row>
    <x:row r="34" ht="19" customHeight="1">
      <x:c r="A34" s="25" t="str">
        <x:v>LIVE_CITY_NOT_WORK_CITY</x:v>
      </x:c>
      <x:c r="B34" s="25" t="n">
        <x:v>1.1238356513769179</x:v>
      </x:c>
    </x:row>
    <x:row r="35" ht="19" customHeight="1">
      <x:c r="A35" s="25" t="str">
        <x:v>YEARS_BUILD_AVG</x:v>
      </x:c>
      <x:c r="B35" s="25" t="n">
        <x:v>3.582791271438988</x:v>
      </x:c>
    </x:row>
    <x:row r="36" ht="19" customHeight="1">
      <x:c r="A36" s="25" t="str">
        <x:v>LIVINGAPARTMENTS_AVG</x:v>
      </x:c>
      <x:c r="B36" s="25" t="n">
        <x:v>3.8380480399976964</x:v>
      </x:c>
    </x:row>
    <x:row r="37" ht="19" customHeight="1">
      <x:c r="A37" s="25" t="str">
        <x:v>DEF_30_CNT_SOCIAL_CIRCLE</x:v>
      </x:c>
      <x:c r="B37" s="25" t="n">
        <x:v>3.3779582397908285</x:v>
      </x:c>
    </x:row>
    <x:row r="38" ht="19" customHeight="1">
      <x:c r="A38" s="25" t="str">
        <x:v>LANDAREA_AVG</x:v>
      </x:c>
      <x:c r="B38" s="25" t="n">
        <x:v>3.636133391130454</x:v>
      </x:c>
    </x:row>
    <x:row r="39" ht="19" customHeight="1">
      <x:c r="A39" s="25" t="str">
        <x:v>DEF_60_CNT_SOCIAL_CIRCLE</x:v>
      </x:c>
      <x:c r="B39" s="25" t="n">
        <x:v>3.377339176167037</x:v>
      </x:c>
    </x:row>
    <x:row r="40" ht="19" customHeight="1">
      <x:c r="A40" s="25" t="str">
        <x:v>FLAG_DOCUMENT_6</x:v>
      </x:c>
      <x:c r="B40" s="25" t="n">
        <x:v>2.331446659407649</x:v>
      </x:c>
    </x:row>
    <x:row r="41" ht="19" customHeight="1">
      <x:c r="A41" s="25" t="str">
        <x:v>COMMONAREA_AVG</x:v>
      </x:c>
      <x:c r="B41" s="25" t="n">
        <x:v>3.418853076213565</x:v>
      </x:c>
    </x:row>
    <x:row r="42" ht="19" customHeight="1">
      <x:c r="A42" s="25" t="str">
        <x:v>FLAG_WORK_PHONE</x:v>
      </x:c>
      <x:c r="B42" s="25" t="n">
        <x:v>1.1072051425823835</x:v>
      </x:c>
    </x:row>
    <x:row r="43" ht="19" customHeight="1">
      <x:c r="A43" s="25" t="str">
        <x:v>AMT_INCOME_TOTAL</x:v>
      </x:c>
      <x:c r="B43" s="25" t="n">
        <x:v>1.1976661575188094</x:v>
      </x:c>
    </x:row>
    <x:row r="44" ht="19" customHeight="1">
      <x:c r="A44" s="25" t="str">
        <x:v>HOUR_APPR_PROCESS_START</x:v>
      </x:c>
      <x:c r="B44" s="25" t="n">
        <x:v>1.0962797243637423</x:v>
      </x:c>
    </x:row>
    <x:row r="45" ht="19" customHeight="1">
      <x:c r="A45" s="25" t="str">
        <x:v>CREDIT_INCOME_RATIO</x:v>
      </x:c>
      <x:c r="B45" s="25" t="n">
        <x:v>1.160101323491413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d8037252520044bd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</x:cols>
  <x:sheetData>
    <x:row r="1" ht="27" customHeight="1">
      <x:c r="A1" s="12" t="str">
        <x:v>迭代记录 | 调参集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</x:row>
    <x:row r="2" ht="32" customHeight="1">
      <x:c r="A2" s="15" t="str">
        <x:v>来源：outputs/phase3/iteration_validation_metrics.csv；R0至R3真实运行指标与时间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</x:row>
    <x:row r="4" ht="42" customHeight="1">
      <x:c r="A4" s="20" t="str">
        <x:v>name</x:v>
      </x:c>
      <x:c r="B4" s="20" t="str">
        <x:v>stage</x:v>
      </x:c>
      <x:c r="C4" s="20" t="str">
        <x:v>interactions</x:v>
      </x:c>
      <x:c r="D4" s="20" t="str">
        <x:v>n</x:v>
      </x:c>
      <x:c r="E4" s="20" t="str">
        <x:v>positive_rate</x:v>
      </x:c>
      <x:c r="F4" s="20" t="str">
        <x:v>auc</x:v>
      </x:c>
      <x:c r="G4" s="20" t="str">
        <x:v>ks</x:v>
      </x:c>
      <x:c r="H4" s="20" t="str">
        <x:v>gini</x:v>
      </x:c>
      <x:c r="I4" s="20" t="str">
        <x:v>average_precision</x:v>
      </x:c>
      <x:c r="J4" s="20" t="str">
        <x:v>brier</x:v>
      </x:c>
      <x:c r="K4" s="20" t="str">
        <x:v>log_loss</x:v>
      </x:c>
      <x:c r="L4" s="20" t="str">
        <x:v>threshold</x:v>
      </x:c>
      <x:c r="M4" s="20" t="str">
        <x:v>precision</x:v>
      </x:c>
      <x:c r="N4" s="20" t="str">
        <x:v>recall</x:v>
      </x:c>
      <x:c r="O4" s="20" t="str">
        <x:v>f1</x:v>
      </x:c>
      <x:c r="P4" s="20" t="str">
        <x:v>accuracy</x:v>
      </x:c>
      <x:c r="Q4" s="20" t="str">
        <x:v>tn</x:v>
      </x:c>
      <x:c r="R4" s="20" t="str">
        <x:v>fp</x:v>
      </x:c>
      <x:c r="S4" s="20" t="str">
        <x:v>fn</x:v>
      </x:c>
      <x:c r="T4" s="20" t="str">
        <x:v>tp</x:v>
      </x:c>
      <x:c r="U4" s="20" t="str">
        <x:v>best_iteration</x:v>
      </x:c>
      <x:c r="V4" s="20" t="str">
        <x:v>runtime_seconds</x:v>
      </x:c>
      <x:c r="W4" s="20" t="str">
        <x:v>ks_cutoff</x:v>
      </x:c>
      <x:c r="X4" s="20" t="str">
        <x:v>recall_at_ks</x:v>
      </x:c>
      <x:c r="Y4" s="20" t="str">
        <x:v>precision_at_ks</x:v>
      </x:c>
    </x:row>
    <x:row r="5" ht="19" customHeight="1">
      <x:c r="A5" s="25" t="str">
        <x:v>R0_baseline</x:v>
      </x:c>
      <x:c r="B5" s="25" t="str">
        <x:v>R0</x:v>
      </x:c>
      <x:c r="C5" s="35" t="b">
        <x:v>0</x:v>
      </x:c>
      <x:c r="D5" s="28" t="n">
        <x:v>32289</x:v>
      </x:c>
      <x:c r="E5" s="30" t="n">
        <x:v>0.08073957075164917</x:v>
      </x:c>
      <x:c r="F5" s="25" t="n">
        <x:v>0.735032580489359</x:v>
      </x:c>
      <x:c r="G5" s="25" t="n">
        <x:v>0.35708203931369487</x:v>
      </x:c>
      <x:c r="H5" s="25" t="n">
        <x:v>0.4700651609787181</x:v>
      </x:c>
      <x:c r="I5" s="30" t="n">
        <x:v>0.21711459626966925</x:v>
      </x:c>
      <x:c r="J5" s="25" t="n">
        <x:v>0.06904438984907678</x:v>
      </x:c>
      <x:c r="K5" s="25" t="n">
        <x:v>0.2525366079509166</x:v>
      </x:c>
      <x:c r="L5" s="25" t="n">
        <x:v>0.5</x:v>
      </x:c>
      <x:c r="M5" s="30" t="n">
        <x:v>0.5238095238095238</x:v>
      </x:c>
      <x:c r="N5" s="30" t="n">
        <x:v>0.008438818565400843</x:v>
      </x:c>
      <x:c r="O5" s="25" t="n">
        <x:v>0.016610041525103814</x:v>
      </x:c>
      <x:c r="P5" s="25" t="n">
        <x:v>0.9193223698473164</x:v>
      </x:c>
      <x:c r="Q5" s="28" t="n">
        <x:v>29662</x:v>
      </x:c>
      <x:c r="R5" s="28" t="n">
        <x:v>20</x:v>
      </x:c>
      <x:c r="S5" s="28" t="n">
        <x:v>2585</x:v>
      </x:c>
      <x:c r="T5" s="28" t="n">
        <x:v>22</x:v>
      </x:c>
      <x:c r="U5" s="25" t="n">
        <x:v>241</x:v>
      </x:c>
      <x:c r="V5" s="25" t="n">
        <x:v>5.526652113999944</x:v>
      </x:c>
      <x:c r="W5" s="25" t="n">
        <x:v>0.07059487175216063</x:v>
      </x:c>
      <x:c r="X5" s="30" t="n">
        <x:v>0.7272727272727273</x:v>
      </x:c>
      <x:c r="Y5" s="30" t="n">
        <x:v>0.14715926730828935</x:v>
      </x:c>
    </x:row>
    <x:row r="6" ht="19" customHeight="1">
      <x:c r="A6" s="25" t="str">
        <x:v>R1_grid_01</x:v>
      </x:c>
      <x:c r="B6" s="25" t="str">
        <x:v>R1</x:v>
      </x:c>
      <x:c r="C6" s="35" t="b">
        <x:v>0</x:v>
      </x:c>
      <x:c r="D6" s="28" t="n">
        <x:v>32289</x:v>
      </x:c>
      <x:c r="E6" s="30" t="n">
        <x:v>0.08073957075164917</x:v>
      </x:c>
      <x:c r="F6" s="25" t="n">
        <x:v>0.7339433463321358</x:v>
      </x:c>
      <x:c r="G6" s="25" t="n">
        <x:v>0.3562955669180385</x:v>
      </x:c>
      <x:c r="H6" s="25" t="n">
        <x:v>0.4678866926642715</x:v>
      </x:c>
      <x:c r="I6" s="30" t="n">
        <x:v>0.21634066362277105</x:v>
      </x:c>
      <x:c r="J6" s="25" t="n">
        <x:v>0.06909804561949927</x:v>
      </x:c>
      <x:c r="K6" s="25" t="n">
        <x:v>0.25283536664607453</x:v>
      </x:c>
      <x:c r="L6" s="25" t="n">
        <x:v>0.5</x:v>
      </x:c>
      <x:c r="M6" s="30" t="n">
        <x:v>0.5172413793103449</x:v>
      </x:c>
      <x:c r="N6" s="30" t="n">
        <x:v>0.005753739930955121</x:v>
      </x:c>
      <x:c r="O6" s="25" t="n">
        <x:v>0.011380880121396054</x:v>
      </x:c>
      <x:c r="P6" s="25" t="n">
        <x:v>0.9192913995478337</x:v>
      </x:c>
      <x:c r="Q6" s="28" t="n">
        <x:v>29668</x:v>
      </x:c>
      <x:c r="R6" s="28" t="n">
        <x:v>14</x:v>
      </x:c>
      <x:c r="S6" s="28" t="n">
        <x:v>2592</x:v>
      </x:c>
      <x:c r="T6" s="28" t="n">
        <x:v>15</x:v>
      </x:c>
      <x:c r="U6" s="25" t="n">
        <x:v>494</x:v>
      </x:c>
      <x:c r="V6" s="25" t="n">
        <x:v>8.194365263000009</x:v>
      </x:c>
      <x:c r="W6" s="25" t="n">
        <x:v>0.07916601685672346</x:v>
      </x:c>
      <x:c r="X6" s="30" t="n">
        <x:v>0.6781741465285769</x:v>
      </x:c>
      <x:c r="Y6" s="30" t="n">
        <x:v>0.15615615615615616</x:v>
      </x:c>
    </x:row>
    <x:row r="7" ht="19" customHeight="1">
      <x:c r="A7" s="25" t="str">
        <x:v>R1_grid_02</x:v>
      </x:c>
      <x:c r="B7" s="25" t="str">
        <x:v>R1</x:v>
      </x:c>
      <x:c r="C7" s="35" t="b">
        <x:v>0</x:v>
      </x:c>
      <x:c r="D7" s="28" t="n">
        <x:v>32289</x:v>
      </x:c>
      <x:c r="E7" s="30" t="n">
        <x:v>0.08073957075164917</x:v>
      </x:c>
      <x:c r="F7" s="25" t="n">
        <x:v>0.7333367631169905</x:v>
      </x:c>
      <x:c r="G7" s="25" t="n">
        <x:v>0.3553172644221304</x:v>
      </x:c>
      <x:c r="H7" s="25" t="n">
        <x:v>0.46667352623398095</x:v>
      </x:c>
      <x:c r="I7" s="30" t="n">
        <x:v>0.21584604478427893</x:v>
      </x:c>
      <x:c r="J7" s="25" t="n">
        <x:v>0.06911631606181813</x:v>
      </x:c>
      <x:c r="K7" s="25" t="n">
        <x:v>0.25296201892923</x:v>
      </x:c>
      <x:c r="L7" s="25" t="n">
        <x:v>0.5</x:v>
      </x:c>
      <x:c r="M7" s="30" t="n">
        <x:v>0.45454545454545453</x:v>
      </x:c>
      <x:c r="N7" s="30" t="n">
        <x:v>0.005753739930955121</x:v>
      </x:c>
      <x:c r="O7" s="25" t="n">
        <x:v>0.011363636363636364</x:v>
      </x:c>
      <x:c r="P7" s="25" t="n">
        <x:v>0.9191675183499024</x:v>
      </x:c>
      <x:c r="Q7" s="28" t="n">
        <x:v>29664</x:v>
      </x:c>
      <x:c r="R7" s="28" t="n">
        <x:v>18</x:v>
      </x:c>
      <x:c r="S7" s="28" t="n">
        <x:v>2592</x:v>
      </x:c>
      <x:c r="T7" s="28" t="n">
        <x:v>15</x:v>
      </x:c>
      <x:c r="U7" s="25" t="n">
        <x:v>498</x:v>
      </x:c>
      <x:c r="V7" s="25" t="n">
        <x:v>8.427618174000145</x:v>
      </x:c>
      <x:c r="W7" s="25" t="n">
        <x:v>0.07600889072506359</x:v>
      </x:c>
      <x:c r="X7" s="30" t="n">
        <x:v>0.6950517836593786</x:v>
      </x:c>
      <x:c r="Y7" s="30" t="n">
        <x:v>0.152320107599193</x:v>
      </x:c>
    </x:row>
    <x:row r="8" ht="19" customHeight="1">
      <x:c r="A8" s="25" t="str">
        <x:v>R1_grid_03</x:v>
      </x:c>
      <x:c r="B8" s="25" t="str">
        <x:v>R1</x:v>
      </x:c>
      <x:c r="C8" s="35" t="b">
        <x:v>0</x:v>
      </x:c>
      <x:c r="D8" s="28" t="n">
        <x:v>32289</x:v>
      </x:c>
      <x:c r="E8" s="30" t="n">
        <x:v>0.08073957075164917</x:v>
      </x:c>
      <x:c r="F8" s="25" t="n">
        <x:v>0.7353995053099227</x:v>
      </x:c>
      <x:c r="G8" s="25" t="n">
        <x:v>0.3603724993174679</x:v>
      </x:c>
      <x:c r="H8" s="25" t="n">
        <x:v>0.4707990106198454</x:v>
      </x:c>
      <x:c r="I8" s="30" t="n">
        <x:v>0.2173722211301089</x:v>
      </x:c>
      <x:c r="J8" s="25" t="n">
        <x:v>0.06903057108017613</x:v>
      </x:c>
      <x:c r="K8" s="25" t="n">
        <x:v>0.2524820009970554</x:v>
      </x:c>
      <x:c r="L8" s="25" t="n">
        <x:v>0.5</x:v>
      </x:c>
      <x:c r="M8" s="30" t="n">
        <x:v>0.525</x:v>
      </x:c>
      <x:c r="N8" s="30" t="n">
        <x:v>0.00805523590333717</x:v>
      </x:c>
      <x:c r="O8" s="25" t="n">
        <x:v>0.015867019267094825</x:v>
      </x:c>
      <x:c r="P8" s="25" t="n">
        <x:v>0.9193223698473164</x:v>
      </x:c>
      <x:c r="Q8" s="28" t="n">
        <x:v>29663</x:v>
      </x:c>
      <x:c r="R8" s="28" t="n">
        <x:v>19</x:v>
      </x:c>
      <x:c r="S8" s="28" t="n">
        <x:v>2586</x:v>
      </x:c>
      <x:c r="T8" s="28" t="n">
        <x:v>21</x:v>
      </x:c>
      <x:c r="U8" s="25" t="n">
        <x:v>486</x:v>
      </x:c>
      <x:c r="V8" s="25" t="n">
        <x:v>9.839125766000052</x:v>
      </x:c>
      <x:c r="W8" s="25" t="n">
        <x:v>0.07768760051959048</x:v>
      </x:c>
      <x:c r="X8" s="30" t="n">
        <x:v>0.6831607211354047</x:v>
      </x:c>
      <x:c r="Y8" s="30" t="n">
        <x:v>0.15675057208237986</x:v>
      </x:c>
    </x:row>
    <x:row r="9" ht="19" customHeight="1">
      <x:c r="A9" s="25" t="str">
        <x:v>R1_grid_04</x:v>
      </x:c>
      <x:c r="B9" s="25" t="str">
        <x:v>R1</x:v>
      </x:c>
      <x:c r="C9" s="35" t="b">
        <x:v>0</x:v>
      </x:c>
      <x:c r="D9" s="28" t="n">
        <x:v>32289</x:v>
      </x:c>
      <x:c r="E9" s="30" t="n">
        <x:v>0.08073957075164917</x:v>
      </x:c>
      <x:c r="F9" s="25" t="n">
        <x:v>0.7338536085110533</x:v>
      </x:c>
      <x:c r="G9" s="25" t="n">
        <x:v>0.35387485559434806</x:v>
      </x:c>
      <x:c r="H9" s="25" t="n">
        <x:v>0.4677072170221066</x:v>
      </x:c>
      <x:c r="I9" s="30" t="n">
        <x:v>0.2161505368062125</x:v>
      </x:c>
      <x:c r="J9" s="25" t="n">
        <x:v>0.06910582112554331</x:v>
      </x:c>
      <x:c r="K9" s="25" t="n">
        <x:v>0.2528442156282589</x:v>
      </x:c>
      <x:c r="L9" s="25" t="n">
        <x:v>0.5</x:v>
      </x:c>
      <x:c r="M9" s="30" t="n">
        <x:v>0.4482758620689655</x:v>
      </x:c>
      <x:c r="N9" s="30" t="n">
        <x:v>0.004986574606827772</x:v>
      </x:c>
      <x:c r="O9" s="25" t="n">
        <x:v>0.009863429438543247</x:v>
      </x:c>
      <x:c r="P9" s="25" t="n">
        <x:v>0.9191675183499024</x:v>
      </x:c>
      <x:c r="Q9" s="28" t="n">
        <x:v>29666</x:v>
      </x:c>
      <x:c r="R9" s="28" t="n">
        <x:v>16</x:v>
      </x:c>
      <x:c r="S9" s="28" t="n">
        <x:v>2594</x:v>
      </x:c>
      <x:c r="T9" s="28" t="n">
        <x:v>13</x:v>
      </x:c>
      <x:c r="U9" s="25" t="n">
        <x:v>292</x:v>
      </x:c>
      <x:c r="V9" s="25" t="n">
        <x:v>6.852841131999867</x:v>
      </x:c>
      <x:c r="W9" s="25" t="n">
        <x:v>0.0843488028594442</x:v>
      </x:c>
      <x:c r="X9" s="30" t="n">
        <x:v>0.6425009589566552</x:v>
      </x:c>
      <x:c r="Y9" s="30" t="n">
        <x:v>0.16354227689904316</x:v>
      </x:c>
    </x:row>
    <x:row r="10" ht="19" customHeight="1">
      <x:c r="A10" s="25" t="str">
        <x:v>R1_grid_05</x:v>
      </x:c>
      <x:c r="B10" s="25" t="str">
        <x:v>R1</x:v>
      </x:c>
      <x:c r="C10" s="35" t="b">
        <x:v>0</x:v>
      </x:c>
      <x:c r="D10" s="28" t="n">
        <x:v>32289</x:v>
      </x:c>
      <x:c r="E10" s="30" t="n">
        <x:v>0.08073957075164917</x:v>
      </x:c>
      <x:c r="F10" s="25" t="n">
        <x:v>0.7344530194205103</x:v>
      </x:c>
      <x:c r="G10" s="25" t="n">
        <x:v>0.3550990324831011</x:v>
      </x:c>
      <x:c r="H10" s="25" t="n">
        <x:v>0.46890603884102067</x:v>
      </x:c>
      <x:c r="I10" s="30" t="n">
        <x:v>0.21559265968591698</x:v>
      </x:c>
      <x:c r="J10" s="25" t="n">
        <x:v>0.06910756226773068</x:v>
      </x:c>
      <x:c r="K10" s="25" t="n">
        <x:v>0.2528273033581573</x:v>
      </x:c>
      <x:c r="L10" s="25" t="n">
        <x:v>0.5</x:v>
      </x:c>
      <x:c r="M10" s="30" t="n">
        <x:v>0.46153846153846156</x:v>
      </x:c>
      <x:c r="N10" s="30" t="n">
        <x:v>0.006904487917146145</x:v>
      </x:c>
      <x:c r="O10" s="25" t="n">
        <x:v>0.013605442176870748</x:v>
      </x:c>
      <x:c r="P10" s="25" t="n">
        <x:v>0.9191675183499024</x:v>
      </x:c>
      <x:c r="Q10" s="28" t="n">
        <x:v>29661</x:v>
      </x:c>
      <x:c r="R10" s="28" t="n">
        <x:v>21</x:v>
      </x:c>
      <x:c r="S10" s="28" t="n">
        <x:v>2589</x:v>
      </x:c>
      <x:c r="T10" s="28" t="n">
        <x:v>18</x:v>
      </x:c>
      <x:c r="U10" s="25" t="n">
        <x:v>341</x:v>
      </x:c>
      <x:c r="V10" s="25" t="n">
        <x:v>5.777904798999998</x:v>
      </x:c>
      <x:c r="W10" s="25" t="n">
        <x:v>0.08279589699256765</x:v>
      </x:c>
      <x:c r="X10" s="30" t="n">
        <x:v>0.6547756041426928</x:v>
      </x:c>
      <x:c r="Y10" s="30" t="n">
        <x:v>0.1610073571024335</x:v>
      </x:c>
    </x:row>
    <x:row r="11" ht="19" customHeight="1">
      <x:c r="A11" s="25" t="str">
        <x:v>R1_grid_06</x:v>
      </x:c>
      <x:c r="B11" s="25" t="str">
        <x:v>R1</x:v>
      </x:c>
      <x:c r="C11" s="35" t="b">
        <x:v>0</x:v>
      </x:c>
      <x:c r="D11" s="28" t="n">
        <x:v>32289</x:v>
      </x:c>
      <x:c r="E11" s="30" t="n">
        <x:v>0.08073957075164917</x:v>
      </x:c>
      <x:c r="F11" s="25" t="n">
        <x:v>0.7339015014207498</x:v>
      </x:c>
      <x:c r="G11" s="25" t="n">
        <x:v>0.3565095342428747</x:v>
      </x:c>
      <x:c r="H11" s="25" t="n">
        <x:v>0.46780300284149967</x:v>
      </x:c>
      <x:c r="I11" s="30" t="n">
        <x:v>0.2165385162815212</x:v>
      </x:c>
      <x:c r="J11" s="25" t="n">
        <x:v>0.06909080593406222</x:v>
      </x:c>
      <x:c r="K11" s="25" t="n">
        <x:v>0.2528593586413554</x:v>
      </x:c>
      <x:c r="L11" s="25" t="n">
        <x:v>0.5</x:v>
      </x:c>
      <x:c r="M11" s="30" t="n">
        <x:v>0.5135135135135135</x:v>
      </x:c>
      <x:c r="N11" s="30" t="n">
        <x:v>0.00728807057920982</x:v>
      </x:c>
      <x:c r="O11" s="25" t="n">
        <x:v>0.014372163388804841</x:v>
      </x:c>
      <x:c r="P11" s="25" t="n">
        <x:v>0.9192913995478337</x:v>
      </x:c>
      <x:c r="Q11" s="28" t="n">
        <x:v>29664</x:v>
      </x:c>
      <x:c r="R11" s="28" t="n">
        <x:v>18</x:v>
      </x:c>
      <x:c r="S11" s="28" t="n">
        <x:v>2588</x:v>
      </x:c>
      <x:c r="T11" s="28" t="n">
        <x:v>19</x:v>
      </x:c>
      <x:c r="U11" s="25" t="n">
        <x:v>271</x:v>
      </x:c>
      <x:c r="V11" s="25" t="n">
        <x:v>4.9971872430000985</x:v>
      </x:c>
      <x:c r="W11" s="25" t="n">
        <x:v>0.08106910135094511</x:v>
      </x:c>
      <x:c r="X11" s="30" t="n">
        <x:v>0.6635980053701572</x:v>
      </x:c>
      <x:c r="Y11" s="30" t="n">
        <x:v>0.15952051636698938</x:v>
      </x:c>
    </x:row>
    <x:row r="12" ht="19" customHeight="1">
      <x:c r="A12" s="25" t="str">
        <x:v>R1_grid_07</x:v>
      </x:c>
      <x:c r="B12" s="25" t="str">
        <x:v>R1</x:v>
      </x:c>
      <x:c r="C12" s="35" t="b">
        <x:v>0</x:v>
      </x:c>
      <x:c r="D12" s="28" t="n">
        <x:v>32289</x:v>
      </x:c>
      <x:c r="E12" s="30" t="n">
        <x:v>0.08073957075164917</x:v>
      </x:c>
      <x:c r="F12" s="25" t="n">
        <x:v>0.7350189337239409</x:v>
      </x:c>
      <x:c r="G12" s="25" t="n">
        <x:v>0.35850099276341496</x:v>
      </x:c>
      <x:c r="H12" s="25" t="n">
        <x:v>0.4700378674478818</x:v>
      </x:c>
      <x:c r="I12" s="30" t="n">
        <x:v>0.21583919044440997</x:v>
      </x:c>
      <x:c r="J12" s="25" t="n">
        <x:v>0.06907834486143434</x:v>
      </x:c>
      <x:c r="K12" s="25" t="n">
        <x:v>0.25264560701806854</x:v>
      </x:c>
      <x:c r="L12" s="25" t="n">
        <x:v>0.5</x:v>
      </x:c>
      <x:c r="M12" s="30" t="n">
        <x:v>0.5</x:v>
      </x:c>
      <x:c r="N12" s="30" t="n">
        <x:v>0.006904487917146145</x:v>
      </x:c>
      <x:c r="O12" s="25" t="n">
        <x:v>0.01362088535754824</x:v>
      </x:c>
      <x:c r="P12" s="25" t="n">
        <x:v>0.9192604292483508</x:v>
      </x:c>
      <x:c r="Q12" s="28" t="n">
        <x:v>29664</x:v>
      </x:c>
      <x:c r="R12" s="28" t="n">
        <x:v>18</x:v>
      </x:c>
      <x:c r="S12" s="28" t="n">
        <x:v>2589</x:v>
      </x:c>
      <x:c r="T12" s="28" t="n">
        <x:v>18</x:v>
      </x:c>
      <x:c r="U12" s="25" t="n">
        <x:v>177</x:v>
      </x:c>
      <x:c r="V12" s="25" t="n">
        <x:v>4.17659598299997</x:v>
      </x:c>
      <x:c r="W12" s="25" t="n">
        <x:v>0.08492629768241666</x:v>
      </x:c>
      <x:c r="X12" s="30" t="n">
        <x:v>0.6448024549290372</x:v>
      </x:c>
      <x:c r="Y12" s="30" t="n">
        <x:v>0.16514392376461343</x:v>
      </x:c>
    </x:row>
    <x:row r="13" ht="19" customHeight="1">
      <x:c r="A13" s="25" t="str">
        <x:v>R1_grid_08</x:v>
      </x:c>
      <x:c r="B13" s="25" t="str">
        <x:v>R1</x:v>
      </x:c>
      <x:c r="C13" s="35" t="b">
        <x:v>0</x:v>
      </x:c>
      <x:c r="D13" s="28" t="n">
        <x:v>32289</x:v>
      </x:c>
      <x:c r="E13" s="30" t="n">
        <x:v>0.08073957075164917</x:v>
      </x:c>
      <x:c r="F13" s="25" t="n">
        <x:v>0.73448017079754</x:v>
      </x:c>
      <x:c r="G13" s="25" t="n">
        <x:v>0.3561697995685606</x:v>
      </x:c>
      <x:c r="H13" s="25" t="n">
        <x:v>0.46896034159508004</x:v>
      </x:c>
      <x:c r="I13" s="30" t="n">
        <x:v>0.2147187832614212</x:v>
      </x:c>
      <x:c r="J13" s="25" t="n">
        <x:v>0.06912515115658102</x:v>
      </x:c>
      <x:c r="K13" s="25" t="n">
        <x:v>0.25279150179418003</x:v>
      </x:c>
      <x:c r="L13" s="25" t="n">
        <x:v>0.5</x:v>
      </x:c>
      <x:c r="M13" s="30" t="n">
        <x:v>0.4878048780487805</x:v>
      </x:c>
      <x:c r="N13" s="30" t="n">
        <x:v>0.007671653241273495</x:v>
      </x:c>
      <x:c r="O13" s="25" t="n">
        <x:v>0.015105740181268883</x:v>
      </x:c>
      <x:c r="P13" s="25" t="n">
        <x:v>0.919229458948868</x:v>
      </x:c>
      <x:c r="Q13" s="28" t="n">
        <x:v>29661</x:v>
      </x:c>
      <x:c r="R13" s="28" t="n">
        <x:v>21</x:v>
      </x:c>
      <x:c r="S13" s="28" t="n">
        <x:v>2587</x:v>
      </x:c>
      <x:c r="T13" s="28" t="n">
        <x:v>20</x:v>
      </x:c>
      <x:c r="U13" s="25" t="n">
        <x:v>209</x:v>
      </x:c>
      <x:c r="V13" s="25" t="n">
        <x:v>5.205459219999966</x:v>
      </x:c>
      <x:c r="W13" s="25" t="n">
        <x:v>0.08148663190863178</x:v>
      </x:c>
      <x:c r="X13" s="30" t="n">
        <x:v>0.6605293440736478</x:v>
      </x:c>
      <x:c r="Y13" s="30" t="n">
        <x:v>0.16009669021941242</x:v>
      </x:c>
    </x:row>
    <x:row r="14" ht="19" customHeight="1">
      <x:c r="A14" s="25" t="str">
        <x:v>R2_weight_3.00</x:v>
      </x:c>
      <x:c r="B14" s="25" t="str">
        <x:v>R2</x:v>
      </x:c>
      <x:c r="C14" s="35" t="b">
        <x:v>0</x:v>
      </x:c>
      <x:c r="D14" s="28" t="n">
        <x:v>32289</x:v>
      </x:c>
      <x:c r="E14" s="30" t="n">
        <x:v>0.08073957075164917</x:v>
      </x:c>
      <x:c r="F14" s="25" t="n">
        <x:v>0.7094654300939659</x:v>
      </x:c>
      <x:c r="G14" s="25" t="n">
        <x:v>0.3109304620538893</x:v>
      </x:c>
      <x:c r="H14" s="25" t="n">
        <x:v>0.4189308601879318</x:v>
      </x:c>
      <x:c r="I14" s="30" t="n">
        <x:v>0.19009794773647842</x:v>
      </x:c>
      <x:c r="J14" s="25" t="n">
        <x:v>0.07279293205818652</x:v>
      </x:c>
      <x:c r="K14" s="25" t="n">
        <x:v>0.2742655649763726</x:v>
      </x:c>
      <x:c r="L14" s="25" t="n">
        <x:v>0.5</x:v>
      </x:c>
      <x:c r="M14" s="30" t="n">
        <x:v>0</x:v>
      </x:c>
      <x:c r="N14" s="30" t="n">
        <x:v>0</x:v>
      </x:c>
      <x:c r="O14" s="25" t="n">
        <x:v>0</x:v>
      </x:c>
      <x:c r="P14" s="25" t="n">
        <x:v>0.9192604292483508</x:v>
      </x:c>
      <x:c r="Q14" s="28" t="n">
        <x:v>29682</x:v>
      </x:c>
      <x:c r="R14" s="28" t="n">
        <x:v>0</x:v>
      </x:c>
      <x:c r="S14" s="28" t="n">
        <x:v>2607</x:v>
      </x:c>
      <x:c r="T14" s="28" t="n">
        <x:v>0</x:v>
      </x:c>
      <x:c r="U14" s="25" t="n">
        <x:v>10</x:v>
      </x:c>
      <x:c r="V14" s="25" t="n">
        <x:v>1.7634626400001707</x:v>
      </x:c>
      <x:c r="W14" s="25" t="n">
        <x:v>0.11545335696956838</x:v>
      </x:c>
      <x:c r="X14" s="30" t="n">
        <x:v>0.6497890295358649</x:v>
      </x:c>
      <x:c r="Y14" s="30" t="n">
        <x:v>0.14414567733151804</x:v>
      </x:c>
    </x:row>
    <x:row r="15" ht="19" customHeight="1">
      <x:c r="A15" s="25" t="str">
        <x:v>R2_weight_11.39</x:v>
      </x:c>
      <x:c r="B15" s="25" t="str">
        <x:v>R2</x:v>
      </x:c>
      <x:c r="C15" s="35" t="b">
        <x:v>0</x:v>
      </x:c>
      <x:c r="D15" s="28" t="n">
        <x:v>32289</x:v>
      </x:c>
      <x:c r="E15" s="30" t="n">
        <x:v>0.08073957075164917</x:v>
      </x:c>
      <x:c r="F15" s="25" t="n">
        <x:v>0.6795835304425091</x:v>
      </x:c>
      <x:c r="G15" s="25" t="n">
        <x:v>0.2630006182139812</x:v>
      </x:c>
      <x:c r="H15" s="25" t="n">
        <x:v>0.35916706088501815</x:v>
      </x:c>
      <x:c r="I15" s="30" t="n">
        <x:v>0.16000800421161138</x:v>
      </x:c>
      <x:c r="J15" s="25" t="n">
        <x:v>0.07384947950037744</x:v>
      </x:c>
      <x:c r="K15" s="25" t="n">
        <x:v>0.27843085668754236</x:v>
      </x:c>
      <x:c r="L15" s="25" t="n">
        <x:v>0.5</x:v>
      </x:c>
      <x:c r="M15" s="30" t="n">
        <x:v>0</x:v>
      </x:c>
      <x:c r="N15" s="30" t="n">
        <x:v>0</x:v>
      </x:c>
      <x:c r="O15" s="25" t="n">
        <x:v>0</x:v>
      </x:c>
      <x:c r="P15" s="25" t="n">
        <x:v>0.9192604292483508</x:v>
      </x:c>
      <x:c r="Q15" s="28" t="n">
        <x:v>29682</x:v>
      </x:c>
      <x:c r="R15" s="28" t="n">
        <x:v>0</x:v>
      </x:c>
      <x:c r="S15" s="28" t="n">
        <x:v>2607</x:v>
      </x:c>
      <x:c r="T15" s="28" t="n">
        <x:v>0</x:v>
      </x:c>
      <x:c r="U15" s="25" t="n">
        <x:v>1</x:v>
      </x:c>
      <x:c r="V15" s="25" t="n">
        <x:v>1.4522765310000523</x:v>
      </x:c>
      <x:c r="W15" s="25" t="n">
        <x:v>0.09551256599399963</x:v>
      </x:c>
      <x:c r="X15" s="30" t="n">
        <x:v>0.5665515918680476</x:v>
      </x:c>
      <x:c r="Y15" s="30" t="n">
        <x:v>0.1408410412892152</x:v>
      </x:c>
    </x:row>
    <x:row r="16" ht="19" customHeight="1">
      <x:c r="A16" s="25" t="str">
        <x:v>R3_business_interactions</x:v>
      </x:c>
      <x:c r="B16" s="25" t="str">
        <x:v>R3</x:v>
      </x:c>
      <x:c r="C16" s="35" t="b">
        <x:v>1</x:v>
      </x:c>
      <x:c r="D16" s="28" t="n">
        <x:v>32289</x:v>
      </x:c>
      <x:c r="E16" s="30" t="n">
        <x:v>0.08073957075164917</x:v>
      </x:c>
      <x:c r="F16" s="25" t="n">
        <x:v>0.736103528497845</x:v>
      </x:c>
      <x:c r="G16" s="25" t="n">
        <x:v>0.3582118131518996</x:v>
      </x:c>
      <x:c r="H16" s="25" t="n">
        <x:v>0.47220705699569</x:v>
      </x:c>
      <x:c r="I16" s="30" t="n">
        <x:v>0.21654451328830082</x:v>
      </x:c>
      <x:c r="J16" s="25" t="n">
        <x:v>0.0690720679276569</x:v>
      </x:c>
      <x:c r="K16" s="25" t="n">
        <x:v>0.25250056165270673</x:v>
      </x:c>
      <x:c r="L16" s="25" t="n">
        <x:v>0.5</x:v>
      </x:c>
      <x:c r="M16" s="30" t="n">
        <x:v>0.4883720930232558</x:v>
      </x:c>
      <x:c r="N16" s="30" t="n">
        <x:v>0.00805523590333717</x:v>
      </x:c>
      <x:c r="O16" s="25" t="n">
        <x:v>0.015849056603773583</x:v>
      </x:c>
      <x:c r="P16" s="25" t="n">
        <x:v>0.919229458948868</x:v>
      </x:c>
      <x:c r="Q16" s="28" t="n">
        <x:v>29660</x:v>
      </x:c>
      <x:c r="R16" s="28" t="n">
        <x:v>22</x:v>
      </x:c>
      <x:c r="S16" s="28" t="n">
        <x:v>2586</x:v>
      </x:c>
      <x:c r="T16" s="28" t="n">
        <x:v>21</x:v>
      </x:c>
      <x:c r="U16" s="25" t="n">
        <x:v>500</x:v>
      </x:c>
      <x:c r="V16" s="25" t="n">
        <x:v>10.134154867999996</x:v>
      </x:c>
      <x:c r="W16" s="25" t="n">
        <x:v>0.07583982129230027</x:v>
      </x:c>
      <x:c r="X16" s="30" t="n">
        <x:v>0.6919831223628692</x:v>
      </x:c>
      <x:c r="Y16" s="30" t="n">
        <x:v>0.1540432072410554</x:v>
      </x:c>
    </x:row>
  </x:sheetData>
  <x:mergeCells>
    <x:mergeCell ref="A1:Y1"/>
    <x:mergeCell ref="A2:Y2"/>
  </x:mergeCells>
  <x:pageMargins left="0.7" right="0.7" top="0.75" bottom="0.75" header="0.3" footer="0.3"/>
  <x:tableParts count="1">
    <x:tablePart xmlns:r="http://schemas.openxmlformats.org/officeDocument/2006/relationships" r:id="Re94c2f707e874005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27" customHeight="1">
      <x:c r="A1" s="12" t="str">
        <x:v>外部评分对照 | 调参集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</x:row>
    <x:row r="2" ht="32" customHeight="1">
      <x:c r="A2" s="15" t="str">
        <x:v>来源：outputs/phase3/ext3_validation_ablation.csv；EXT3增量诊断，不纳入主方案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</x:row>
    <x:row r="4" ht="42" customHeight="1">
      <x:c r="A4" s="20" t="str">
        <x:v>variant</x:v>
      </x:c>
      <x:c r="B4" s="20" t="str">
        <x:v>n</x:v>
      </x:c>
      <x:c r="C4" s="20" t="str">
        <x:v>positive_rate</x:v>
      </x:c>
      <x:c r="D4" s="20" t="str">
        <x:v>auc</x:v>
      </x:c>
      <x:c r="E4" s="20" t="str">
        <x:v>ks</x:v>
      </x:c>
      <x:c r="F4" s="20" t="str">
        <x:v>gini</x:v>
      </x:c>
      <x:c r="G4" s="20" t="str">
        <x:v>average_precision</x:v>
      </x:c>
      <x:c r="H4" s="20" t="str">
        <x:v>brier</x:v>
      </x:c>
      <x:c r="I4" s="20" t="str">
        <x:v>log_loss</x:v>
      </x:c>
      <x:c r="J4" s="20" t="str">
        <x:v>threshold</x:v>
      </x:c>
      <x:c r="K4" s="20" t="str">
        <x:v>precision</x:v>
      </x:c>
      <x:c r="L4" s="20" t="str">
        <x:v>recall</x:v>
      </x:c>
      <x:c r="M4" s="20" t="str">
        <x:v>f1</x:v>
      </x:c>
      <x:c r="N4" s="20" t="str">
        <x:v>accuracy</x:v>
      </x:c>
      <x:c r="O4" s="20" t="str">
        <x:v>tn</x:v>
      </x:c>
      <x:c r="P4" s="20" t="str">
        <x:v>fp</x:v>
      </x:c>
      <x:c r="Q4" s="20" t="str">
        <x:v>fn</x:v>
      </x:c>
      <x:c r="R4" s="20" t="str">
        <x:v>tp</x:v>
      </x:c>
      <x:c r="S4" s="20" t="str">
        <x:v>best_iteration</x:v>
      </x:c>
      <x:c r="T4" s="20" t="str">
        <x:v>runtime_seconds</x:v>
      </x:c>
      <x:c r="U4" s="20" t="str">
        <x:v>ks_cutoff</x:v>
      </x:c>
      <x:c r="V4" s="20" t="str">
        <x:v>recall_at_ks</x:v>
      </x:c>
      <x:c r="W4" s="20" t="str">
        <x:v>precision_at_ks</x:v>
      </x:c>
    </x:row>
    <x:row r="5" ht="19" customHeight="1">
      <x:c r="A5" s="25" t="str">
        <x:v>EXT_SOURCE_2_only</x:v>
      </x:c>
      <x:c r="B5" s="28" t="n">
        <x:v>32289</x:v>
      </x:c>
      <x:c r="C5" s="30" t="n">
        <x:v>0.08073957075164917</x:v>
      </x:c>
      <x:c r="D5" s="25" t="n">
        <x:v>0.7353995053099227</x:v>
      </x:c>
      <x:c r="E5" s="25" t="n">
        <x:v>0.3603724993174679</x:v>
      </x:c>
      <x:c r="F5" s="25" t="n">
        <x:v>0.4707990106198454</x:v>
      </x:c>
      <x:c r="G5" s="30" t="n">
        <x:v>0.2173722211301089</x:v>
      </x:c>
      <x:c r="H5" s="25" t="n">
        <x:v>0.06903057108017613</x:v>
      </x:c>
      <x:c r="I5" s="25" t="n">
        <x:v>0.2524820009970554</x:v>
      </x:c>
      <x:c r="J5" s="25" t="n">
        <x:v>0.5</x:v>
      </x:c>
      <x:c r="K5" s="30" t="n">
        <x:v>0.525</x:v>
      </x:c>
      <x:c r="L5" s="30" t="n">
        <x:v>0.00805523590333717</x:v>
      </x:c>
      <x:c r="M5" s="25" t="n">
        <x:v>0.015867019267094825</x:v>
      </x:c>
      <x:c r="N5" s="25" t="n">
        <x:v>0.9193223698473164</x:v>
      </x:c>
      <x:c r="O5" s="28" t="n">
        <x:v>29663</x:v>
      </x:c>
      <x:c r="P5" s="28" t="n">
        <x:v>19</x:v>
      </x:c>
      <x:c r="Q5" s="28" t="n">
        <x:v>2586</x:v>
      </x:c>
      <x:c r="R5" s="28" t="n">
        <x:v>21</x:v>
      </x:c>
      <x:c r="S5" s="25" t="n">
        <x:v>486</x:v>
      </x:c>
      <x:c r="T5" s="25" t="n">
        <x:v>9.839125766000052</x:v>
      </x:c>
      <x:c r="U5" s="25" t="n">
        <x:v>0.07768760051959048</x:v>
      </x:c>
      <x:c r="V5" s="30" t="n">
        <x:v>0.6831607211354047</x:v>
      </x:c>
      <x:c r="W5" s="30" t="n">
        <x:v>0.15675057208237986</x:v>
      </x:c>
    </x:row>
    <x:row r="6" ht="19" customHeight="1">
      <x:c r="A6" s="25" t="str">
        <x:v>EXT_SOURCE_2_plus_3</x:v>
      </x:c>
      <x:c r="B6" s="28" t="n">
        <x:v>32289</x:v>
      </x:c>
      <x:c r="C6" s="30" t="n">
        <x:v>0.08073957075164917</x:v>
      </x:c>
      <x:c r="D6" s="25" t="n">
        <x:v>0.7562327142586756</x:v>
      </x:c>
      <x:c r="E6" s="25" t="n">
        <x:v>0.3877794301219315</x:v>
      </x:c>
      <x:c r="F6" s="25" t="n">
        <x:v>0.5124654285173511</x:v>
      </x:c>
      <x:c r="G6" s="30" t="n">
        <x:v>0.23825730001890763</x:v>
      </x:c>
      <x:c r="H6" s="25" t="n">
        <x:v>0.06802064488685701</x:v>
      </x:c>
      <x:c r="I6" s="25" t="n">
        <x:v>0.24704848096725054</x:v>
      </x:c>
      <x:c r="J6" s="25" t="n">
        <x:v>0.5</x:v>
      </x:c>
      <x:c r="K6" s="30" t="n">
        <x:v>0.5119047619047619</x:v>
      </x:c>
      <x:c r="L6" s="30" t="n">
        <x:v>0.016494054468738015</x:v>
      </x:c>
      <x:c r="M6" s="25" t="n">
        <x:v>0.031958379784466744</x:v>
      </x:c>
      <x:c r="N6" s="25" t="n">
        <x:v>0.9193223698473164</x:v>
      </x:c>
      <x:c r="O6" s="28" t="n">
        <x:v>29641</x:v>
      </x:c>
      <x:c r="P6" s="28" t="n">
        <x:v>41</x:v>
      </x:c>
      <x:c r="Q6" s="28" t="n">
        <x:v>2564</x:v>
      </x:c>
      <x:c r="R6" s="28" t="n">
        <x:v>43</x:v>
      </x:c>
      <x:c r="S6" s="25" t="n">
        <x:v>307</x:v>
      </x:c>
      <x:c r="T6" s="25" t="n">
        <x:v>7.262642016999962</x:v>
      </x:c>
      <x:c r="U6" s="25" t="n">
        <x:v>0.07751588299015676</x:v>
      </x:c>
      <x:c r="V6" s="30" t="n">
        <x:v>0.6965861143076333</x:v>
      </x:c>
      <x:c r="W6" s="30" t="n">
        <x:v>0.16536150063740668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f339f3873ec34296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7" customHeight="1">
      <x:c r="A1" s="12" t="str">
        <x:v>阈值网格 | 独立策略集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 ht="32" customHeight="1">
      <x:c r="A2" s="15" t="str">
        <x:v>来源：outputs/phase3/threshold_grid_policy.csv；约束与阈值选择不使用测试标签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4" ht="42" customHeight="1">
      <x:c r="A4" s="20" t="str">
        <x:v>policy</x:v>
      </x:c>
      <x:c r="B4" s="20" t="str">
        <x:v>lower</x:v>
      </x:c>
      <x:c r="C4" s="20" t="str">
        <x:v>upper</x:v>
      </x:c>
      <x:c r="D4" s="20" t="str">
        <x:v>lower_quantile</x:v>
      </x:c>
      <x:c r="E4" s="20" t="str">
        <x:v>upper_quantile</x:v>
      </x:c>
      <x:c r="F4" s="20" t="str">
        <x:v>auto_approve_share</x:v>
      </x:c>
      <x:c r="G4" s="20" t="str">
        <x:v>manual_share</x:v>
      </x:c>
      <x:c r="H4" s="20" t="str">
        <x:v>low_target_rate</x:v>
      </x:c>
      <x:c r="I4" s="20" t="str">
        <x:v>low_ci_lower</x:v>
      </x:c>
      <x:c r="J4" s="20" t="str">
        <x:v>low_ci_upper</x:v>
      </x:c>
      <x:c r="K4" s="20" t="str">
        <x:v>risk_cap</x:v>
      </x:c>
      <x:c r="L4" s="20" t="str">
        <x:v>feasible</x:v>
      </x:c>
    </x:row>
    <x:row r="5" ht="19" customHeight="1">
      <x:c r="A5" s="25" t="str">
        <x:v>A_conservative</x:v>
      </x:c>
      <x:c r="B5" s="25" t="n">
        <x:v>0.030224282204085722</x:v>
      </x:c>
      <x:c r="C5" s="25" t="n">
        <x:v>0.09848610006275182</x:v>
      </x:c>
      <x:c r="D5" s="25" t="n">
        <x:v>0.2</x:v>
      </x:c>
      <x:c r="E5" s="25" t="n">
        <x:v>0.75</x:v>
      </x:c>
      <x:c r="F5" s="30" t="n">
        <x:v>0.2</x:v>
      </x:c>
      <x:c r="G5" s="30" t="n">
        <x:v>0.5499535459894704</x:v>
      </x:c>
      <x:c r="H5" s="30" t="n">
        <x:v>0.018271910808299784</x:v>
      </x:c>
      <x:c r="I5" s="25" t="n">
        <x:v>0.014192153297431816</x:v>
      </x:c>
      <x:c r="J5" s="25" t="n">
        <x:v>0.02349650554114315</x:v>
      </x:c>
      <x:c r="K5" s="25" t="n">
        <x:v>0.04</x:v>
      </x:c>
      <x:c r="L5" s="35" t="b">
        <x:v>0</x:v>
      </x:c>
    </x:row>
    <x:row r="6" ht="19" customHeight="1">
      <x:c r="A6" s="25" t="str">
        <x:v>A_conservative</x:v>
      </x:c>
      <x:c r="B6" s="25" t="n">
        <x:v>0.03403960777403434</x:v>
      </x:c>
      <x:c r="C6" s="25" t="n">
        <x:v>0.09848610006275182</x:v>
      </x:c>
      <x:c r="D6" s="25" t="n">
        <x:v>0.25</x:v>
      </x:c>
      <x:c r="E6" s="25" t="n">
        <x:v>0.75</x:v>
      </x:c>
      <x:c r="F6" s="30" t="n">
        <x:v>0.24998451532982346</x:v>
      </x:c>
      <x:c r="G6" s="30" t="n">
        <x:v>0.49996903065964693</x:v>
      </x:c>
      <x:c r="H6" s="30" t="n">
        <x:v>0.02205153617443013</x:v>
      </x:c>
      <x:c r="I6" s="25" t="n">
        <x:v>0.017954880248035873</x:v>
      </x:c>
      <x:c r="J6" s="25" t="n">
        <x:v>0.027057148237304016</x:v>
      </x:c>
      <x:c r="K6" s="25" t="n">
        <x:v>0.04</x:v>
      </x:c>
      <x:c r="L6" s="35" t="b">
        <x:v>0</x:v>
      </x:c>
    </x:row>
    <x:row r="7" ht="19" customHeight="1">
      <x:c r="A7" s="25" t="str">
        <x:v>A_conservative</x:v>
      </x:c>
      <x:c r="B7" s="25" t="n">
        <x:v>0.03781552643575838</x:v>
      </x:c>
      <x:c r="C7" s="25" t="n">
        <x:v>0.09848610006275182</x:v>
      </x:c>
      <x:c r="D7" s="25" t="n">
        <x:v>0.3</x:v>
      </x:c>
      <x:c r="E7" s="25" t="n">
        <x:v>0.75</x:v>
      </x:c>
      <x:c r="F7" s="30" t="n">
        <x:v>0.30003096934035306</x:v>
      </x:c>
      <x:c r="G7" s="30" t="n">
        <x:v>0.4499225766491174</x:v>
      </x:c>
      <x:c r="H7" s="30" t="n">
        <x:v>0.02436003303055326</x:v>
      </x:c>
      <x:c r="I7" s="25" t="n">
        <x:v>0.020380917845035283</x:v>
      </x:c>
      <x:c r="J7" s="25" t="n">
        <x:v>0.029092948175129273</x:v>
      </x:c>
      <x:c r="K7" s="25" t="n">
        <x:v>0.04</x:v>
      </x:c>
      <x:c r="L7" s="35" t="b">
        <x:v>0</x:v>
      </x:c>
    </x:row>
    <x:row r="8" ht="19" customHeight="1">
      <x:c r="A8" s="25" t="str">
        <x:v>A_conservative</x:v>
      </x:c>
      <x:c r="B8" s="25" t="n">
        <x:v>0.04184513869905518</x:v>
      </x:c>
      <x:c r="C8" s="25" t="n">
        <x:v>0.09848610006275182</x:v>
      </x:c>
      <x:c r="D8" s="25" t="n">
        <x:v>0.35</x:v>
      </x:c>
      <x:c r="E8" s="25" t="n">
        <x:v>0.75</x:v>
      </x:c>
      <x:c r="F8" s="30" t="n">
        <x:v>0.3500154846701765</x:v>
      </x:c>
      <x:c r="G8" s="30" t="n">
        <x:v>0.3999380613192939</x:v>
      </x:c>
      <x:c r="H8" s="30" t="n">
        <x:v>0.026013095027428774</x:v>
      </x:c>
      <x:c r="I8" s="25" t="n">
        <x:v>0.02217392349075817</x:v>
      </x:c>
      <x:c r="J8" s="25" t="n">
        <x:v>0.030496246131080956</x:v>
      </x:c>
      <x:c r="K8" s="25" t="n">
        <x:v>0.04</x:v>
      </x:c>
      <x:c r="L8" s="35" t="b">
        <x:v>1</x:v>
      </x:c>
    </x:row>
    <x:row r="9" ht="19" customHeight="1">
      <x:c r="A9" s="25" t="str">
        <x:v>A_conservative</x:v>
      </x:c>
      <x:c r="B9" s="25" t="n">
        <x:v>0.04624953908867016</x:v>
      </x:c>
      <x:c r="C9" s="25" t="n">
        <x:v>0.09848610006275182</x:v>
      </x:c>
      <x:c r="D9" s="25" t="n">
        <x:v>0.39999999999999997</x:v>
      </x:c>
      <x:c r="E9" s="25" t="n">
        <x:v>0.75</x:v>
      </x:c>
      <x:c r="F9" s="30" t="n">
        <x:v>0.4</x:v>
      </x:c>
      <x:c r="G9" s="30" t="n">
        <x:v>0.3499535459894704</x:v>
      </x:c>
      <x:c r="H9" s="30" t="n">
        <x:v>0.029420873335397956</x:v>
      </x:c>
      <x:c r="I9" s="25" t="n">
        <x:v>0.02557098690061093</x:v>
      </x:c>
      <x:c r="J9" s="25" t="n">
        <x:v>0.03383026292373037</x:v>
      </x:c>
      <x:c r="K9" s="25" t="n">
        <x:v>0.04</x:v>
      </x:c>
      <x:c r="L9" s="35" t="b">
        <x:v>1</x:v>
      </x:c>
    </x:row>
    <x:row r="10" ht="19" customHeight="1">
      <x:c r="A10" s="25" t="str">
        <x:v>A_conservative</x:v>
      </x:c>
      <x:c r="B10" s="25" t="n">
        <x:v>0.05093477441457018</x:v>
      </x:c>
      <x:c r="C10" s="25" t="n">
        <x:v>0.09848610006275182</x:v>
      </x:c>
      <x:c r="D10" s="25" t="n">
        <x:v>0.44999999999999996</x:v>
      </x:c>
      <x:c r="E10" s="25" t="n">
        <x:v>0.75</x:v>
      </x:c>
      <x:c r="F10" s="30" t="n">
        <x:v>0.4499845153298235</x:v>
      </x:c>
      <x:c r="G10" s="30" t="n">
        <x:v>0.299969030659647</x:v>
      </x:c>
      <x:c r="H10" s="30" t="n">
        <x:v>0.031383344803854095</x:v>
      </x:c>
      <x:c r="I10" s="25" t="n">
        <x:v>0.02761523356370327</x:v>
      </x:c>
      <x:c r="J10" s="25" t="n">
        <x:v>0.03564676787432224</x:v>
      </x:c>
      <x:c r="K10" s="25" t="n">
        <x:v>0.04</x:v>
      </x:c>
      <x:c r="L10" s="35" t="b">
        <x:v>1</x:v>
      </x:c>
    </x:row>
    <x:row r="11" ht="19" customHeight="1">
      <x:c r="A11" s="25" t="str">
        <x:v>A_conservative</x:v>
      </x:c>
      <x:c r="B11" s="25" t="n">
        <x:v>0.05614846145090382</x:v>
      </x:c>
      <x:c r="C11" s="25" t="n">
        <x:v>0.09848610006275182</x:v>
      </x:c>
      <x:c r="D11" s="25" t="n">
        <x:v>0.49999999999999994</x:v>
      </x:c>
      <x:c r="E11" s="25" t="n">
        <x:v>0.75</x:v>
      </x:c>
      <x:c r="F11" s="30" t="n">
        <x:v>0.49996903065964693</x:v>
      </x:c>
      <x:c r="G11" s="30" t="n">
        <x:v>0.24998451532982346</x:v>
      </x:c>
      <x:c r="H11" s="30" t="n">
        <x:v>0.03394449950445986</x:v>
      </x:c>
      <x:c r="I11" s="25" t="n">
        <x:v>0.03021049226241194</x:v>
      </x:c>
      <x:c r="J11" s="25" t="n">
        <x:v>0.03812188667724085</x:v>
      </x:c>
      <x:c r="K11" s="25" t="n">
        <x:v>0.04</x:v>
      </x:c>
      <x:c r="L11" s="35" t="b">
        <x:v>1</x:v>
      </x:c>
    </x:row>
    <x:row r="12" ht="19" customHeight="1">
      <x:c r="A12" s="25" t="str">
        <x:v>A_conservative</x:v>
      </x:c>
      <x:c r="B12" s="25" t="n">
        <x:v>0.06229501099661933</x:v>
      </x:c>
      <x:c r="C12" s="25" t="n">
        <x:v>0.09848610006275182</x:v>
      </x:c>
      <x:c r="D12" s="25" t="n">
        <x:v>0.5499999999999999</x:v>
      </x:c>
      <x:c r="E12" s="25" t="n">
        <x:v>0.75</x:v>
      </x:c>
      <x:c r="F12" s="30" t="n">
        <x:v>0.5500154846701766</x:v>
      </x:c>
      <x:c r="G12" s="30" t="n">
        <x:v>0.1999380613192939</x:v>
      </x:c>
      <x:c r="H12" s="30" t="n">
        <x:v>0.03682432432432432</x:v>
      </x:c>
      <x:c r="I12" s="25" t="n">
        <x:v>0.03310326112867879</x:v>
      </x:c>
      <x:c r="J12" s="25" t="n">
        <x:v>0.0409459507882593</x:v>
      </x:c>
      <x:c r="K12" s="25" t="n">
        <x:v>0.04</x:v>
      </x:c>
      <x:c r="L12" s="35" t="b">
        <x:v>0</x:v>
      </x:c>
    </x:row>
    <x:row r="13" ht="19" customHeight="1">
      <x:c r="A13" s="25" t="str">
        <x:v>A_conservative</x:v>
      </x:c>
      <x:c r="B13" s="25" t="n">
        <x:v>0.06917292484608586</x:v>
      </x:c>
      <x:c r="C13" s="25" t="n">
        <x:v>0.09848610006275182</x:v>
      </x:c>
      <x:c r="D13" s="25" t="n">
        <x:v>0.5999999999999999</x:v>
      </x:c>
      <x:c r="E13" s="25" t="n">
        <x:v>0.75</x:v>
      </x:c>
      <x:c r="F13" s="30" t="n">
        <x:v>0.6</x:v>
      </x:c>
      <x:c r="G13" s="30" t="n">
        <x:v>0.14995354598947042</x:v>
      </x:c>
      <x:c r="H13" s="30" t="n">
        <x:v>0.03974398678641478</x:v>
      </x:c>
      <x:c r="I13" s="25" t="n">
        <x:v>0.0360326309586441</x:v>
      </x:c>
      <x:c r="J13" s="25" t="n">
        <x:v>0.04382023446165812</x:v>
      </x:c>
      <x:c r="K13" s="25" t="n">
        <x:v>0.04</x:v>
      </x:c>
      <x:c r="L13" s="35" t="b">
        <x:v>0</x:v>
      </x:c>
    </x:row>
    <x:row r="14" ht="19" customHeight="1">
      <x:c r="A14" s="25" t="str">
        <x:v>A_conservative</x:v>
      </x:c>
      <x:c r="B14" s="25" t="n">
        <x:v>0.07693567261453998</x:v>
      </x:c>
      <x:c r="C14" s="25" t="n">
        <x:v>0.09848610006275182</x:v>
      </x:c>
      <x:c r="D14" s="25" t="n">
        <x:v>0.6499999999999999</x:v>
      </x:c>
      <x:c r="E14" s="25" t="n">
        <x:v>0.75</x:v>
      </x:c>
      <x:c r="F14" s="30" t="n">
        <x:v>0.6499845153298235</x:v>
      </x:c>
      <x:c r="G14" s="30" t="n">
        <x:v>0.09996903065964695</x:v>
      </x:c>
      <x:c r="H14" s="30" t="n">
        <x:v>0.04259576901086335</x:v>
      </x:c>
      <x:c r="I14" s="25" t="n">
        <x:v>0.03889648380336959</x:v>
      </x:c>
      <x:c r="J14" s="25" t="n">
        <x:v>0.04662980865804807</x:v>
      </x:c>
      <x:c r="K14" s="25" t="n">
        <x:v>0.04</x:v>
      </x:c>
      <x:c r="L14" s="35" t="b">
        <x:v>0</x:v>
      </x:c>
    </x:row>
    <x:row r="15" ht="19" customHeight="1">
      <x:c r="A15" s="25" t="str">
        <x:v>A_conservative</x:v>
      </x:c>
      <x:c r="B15" s="25" t="n">
        <x:v>0.08687719988197068</x:v>
      </x:c>
      <x:c r="C15" s="25" t="n">
        <x:v>0.09848610006275182</x:v>
      </x:c>
      <x:c r="D15" s="25" t="n">
        <x:v>0.7</x:v>
      </x:c>
      <x:c r="E15" s="25" t="n">
        <x:v>0.75</x:v>
      </x:c>
      <x:c r="F15" s="30" t="n">
        <x:v>0.699969030659647</x:v>
      </x:c>
      <x:c r="G15" s="30" t="n">
        <x:v>0.049984515329823474</x:v>
      </x:c>
      <x:c r="H15" s="30" t="n">
        <x:v>0.04486328643482878</x:v>
      </x:c>
      <x:c r="I15" s="25" t="n">
        <x:v>0.04119893675125644</x:v>
      </x:c>
      <x:c r="J15" s="25" t="n">
        <x:v>0.0488369529627488</x:v>
      </x:c>
      <x:c r="K15" s="25" t="n">
        <x:v>0.04</x:v>
      </x:c>
      <x:c r="L15" s="35" t="b">
        <x:v>0</x:v>
      </x:c>
    </x:row>
    <x:row r="16" ht="19" customHeight="1">
      <x:c r="A16" s="25" t="str">
        <x:v>B_balanced</x:v>
      </x:c>
      <x:c r="B16" s="25" t="n">
        <x:v>0.030224282204085722</x:v>
      </x:c>
      <x:c r="C16" s="25" t="n">
        <x:v>0.135517139236712</x:v>
      </x:c>
      <x:c r="D16" s="25" t="n">
        <x:v>0.2</x:v>
      </x:c>
      <x:c r="E16" s="25" t="n">
        <x:v>0.85</x:v>
      </x:c>
      <x:c r="F16" s="30" t="n">
        <x:v>0.2</x:v>
      </x:c>
      <x:c r="G16" s="30" t="n">
        <x:v>0.6499845153298235</x:v>
      </x:c>
      <x:c r="H16" s="30" t="n">
        <x:v>0.018271910808299784</x:v>
      </x:c>
      <x:c r="I16" s="25" t="n">
        <x:v>0.014192153297431816</x:v>
      </x:c>
      <x:c r="J16" s="25" t="n">
        <x:v>0.02349650554114315</x:v>
      </x:c>
      <x:c r="K16" s="25" t="n">
        <x:v>0.05</x:v>
      </x:c>
      <x:c r="L16" s="35" t="b">
        <x:v>0</x:v>
      </x:c>
    </x:row>
    <x:row r="17" ht="19" customHeight="1">
      <x:c r="A17" s="25" t="str">
        <x:v>B_balanced</x:v>
      </x:c>
      <x:c r="B17" s="25" t="n">
        <x:v>0.03403960777403434</x:v>
      </x:c>
      <x:c r="C17" s="25" t="n">
        <x:v>0.135517139236712</x:v>
      </x:c>
      <x:c r="D17" s="25" t="n">
        <x:v>0.25</x:v>
      </x:c>
      <x:c r="E17" s="25" t="n">
        <x:v>0.85</x:v>
      </x:c>
      <x:c r="F17" s="30" t="n">
        <x:v>0.24998451532982346</x:v>
      </x:c>
      <x:c r="G17" s="30" t="n">
        <x:v>0.6</x:v>
      </x:c>
      <x:c r="H17" s="30" t="n">
        <x:v>0.02205153617443013</x:v>
      </x:c>
      <x:c r="I17" s="25" t="n">
        <x:v>0.017954880248035873</x:v>
      </x:c>
      <x:c r="J17" s="25" t="n">
        <x:v>0.027057148237304016</x:v>
      </x:c>
      <x:c r="K17" s="25" t="n">
        <x:v>0.05</x:v>
      </x:c>
      <x:c r="L17" s="35" t="b">
        <x:v>0</x:v>
      </x:c>
    </x:row>
    <x:row r="18" ht="19" customHeight="1">
      <x:c r="A18" s="25" t="str">
        <x:v>B_balanced</x:v>
      </x:c>
      <x:c r="B18" s="25" t="n">
        <x:v>0.03781552643575838</x:v>
      </x:c>
      <x:c r="C18" s="25" t="n">
        <x:v>0.135517139236712</x:v>
      </x:c>
      <x:c r="D18" s="25" t="n">
        <x:v>0.3</x:v>
      </x:c>
      <x:c r="E18" s="25" t="n">
        <x:v>0.85</x:v>
      </x:c>
      <x:c r="F18" s="30" t="n">
        <x:v>0.30003096934035306</x:v>
      </x:c>
      <x:c r="G18" s="30" t="n">
        <x:v>0.5499535459894704</x:v>
      </x:c>
      <x:c r="H18" s="30" t="n">
        <x:v>0.02436003303055326</x:v>
      </x:c>
      <x:c r="I18" s="25" t="n">
        <x:v>0.020380917845035283</x:v>
      </x:c>
      <x:c r="J18" s="25" t="n">
        <x:v>0.029092948175129273</x:v>
      </x:c>
      <x:c r="K18" s="25" t="n">
        <x:v>0.05</x:v>
      </x:c>
      <x:c r="L18" s="35" t="b">
        <x:v>0</x:v>
      </x:c>
    </x:row>
    <x:row r="19" ht="19" customHeight="1">
      <x:c r="A19" s="25" t="str">
        <x:v>B_balanced</x:v>
      </x:c>
      <x:c r="B19" s="25" t="n">
        <x:v>0.04184513869905518</x:v>
      </x:c>
      <x:c r="C19" s="25" t="n">
        <x:v>0.135517139236712</x:v>
      </x:c>
      <x:c r="D19" s="25" t="n">
        <x:v>0.35</x:v>
      </x:c>
      <x:c r="E19" s="25" t="n">
        <x:v>0.85</x:v>
      </x:c>
      <x:c r="F19" s="30" t="n">
        <x:v>0.3500154846701765</x:v>
      </x:c>
      <x:c r="G19" s="30" t="n">
        <x:v>0.49996903065964693</x:v>
      </x:c>
      <x:c r="H19" s="30" t="n">
        <x:v>0.026013095027428774</x:v>
      </x:c>
      <x:c r="I19" s="25" t="n">
        <x:v>0.02217392349075817</x:v>
      </x:c>
      <x:c r="J19" s="25" t="n">
        <x:v>0.030496246131080956</x:v>
      </x:c>
      <x:c r="K19" s="25" t="n">
        <x:v>0.05</x:v>
      </x:c>
      <x:c r="L19" s="35" t="b">
        <x:v>0</x:v>
      </x:c>
    </x:row>
    <x:row r="20" ht="19" customHeight="1">
      <x:c r="A20" s="25" t="str">
        <x:v>B_balanced</x:v>
      </x:c>
      <x:c r="B20" s="25" t="n">
        <x:v>0.04624953908867016</x:v>
      </x:c>
      <x:c r="C20" s="25" t="n">
        <x:v>0.135517139236712</x:v>
      </x:c>
      <x:c r="D20" s="25" t="n">
        <x:v>0.39999999999999997</x:v>
      </x:c>
      <x:c r="E20" s="25" t="n">
        <x:v>0.85</x:v>
      </x:c>
      <x:c r="F20" s="30" t="n">
        <x:v>0.4</x:v>
      </x:c>
      <x:c r="G20" s="30" t="n">
        <x:v>0.4499845153298235</x:v>
      </x:c>
      <x:c r="H20" s="30" t="n">
        <x:v>0.029420873335397956</x:v>
      </x:c>
      <x:c r="I20" s="25" t="n">
        <x:v>0.02557098690061093</x:v>
      </x:c>
      <x:c r="J20" s="25" t="n">
        <x:v>0.03383026292373037</x:v>
      </x:c>
      <x:c r="K20" s="25" t="n">
        <x:v>0.05</x:v>
      </x:c>
      <x:c r="L20" s="35" t="b">
        <x:v>0</x:v>
      </x:c>
    </x:row>
    <x:row r="21" ht="19" customHeight="1">
      <x:c r="A21" s="25" t="str">
        <x:v>B_balanced</x:v>
      </x:c>
      <x:c r="B21" s="25" t="n">
        <x:v>0.05093477441457018</x:v>
      </x:c>
      <x:c r="C21" s="25" t="n">
        <x:v>0.135517139236712</x:v>
      </x:c>
      <x:c r="D21" s="25" t="n">
        <x:v>0.44999999999999996</x:v>
      </x:c>
      <x:c r="E21" s="25" t="n">
        <x:v>0.85</x:v>
      </x:c>
      <x:c r="F21" s="30" t="n">
        <x:v>0.4499845153298235</x:v>
      </x:c>
      <x:c r="G21" s="30" t="n">
        <x:v>0.4</x:v>
      </x:c>
      <x:c r="H21" s="30" t="n">
        <x:v>0.031383344803854095</x:v>
      </x:c>
      <x:c r="I21" s="25" t="n">
        <x:v>0.02761523356370327</x:v>
      </x:c>
      <x:c r="J21" s="25" t="n">
        <x:v>0.03564676787432224</x:v>
      </x:c>
      <x:c r="K21" s="25" t="n">
        <x:v>0.05</x:v>
      </x:c>
      <x:c r="L21" s="35" t="b">
        <x:v>1</x:v>
      </x:c>
    </x:row>
    <x:row r="22" ht="19" customHeight="1">
      <x:c r="A22" s="25" t="str">
        <x:v>B_balanced</x:v>
      </x:c>
      <x:c r="B22" s="25" t="n">
        <x:v>0.05614846145090382</x:v>
      </x:c>
      <x:c r="C22" s="25" t="n">
        <x:v>0.135517139236712</x:v>
      </x:c>
      <x:c r="D22" s="25" t="n">
        <x:v>0.49999999999999994</x:v>
      </x:c>
      <x:c r="E22" s="25" t="n">
        <x:v>0.85</x:v>
      </x:c>
      <x:c r="F22" s="30" t="n">
        <x:v>0.49996903065964693</x:v>
      </x:c>
      <x:c r="G22" s="30" t="n">
        <x:v>0.3500154846701765</x:v>
      </x:c>
      <x:c r="H22" s="30" t="n">
        <x:v>0.03394449950445986</x:v>
      </x:c>
      <x:c r="I22" s="25" t="n">
        <x:v>0.03021049226241194</x:v>
      </x:c>
      <x:c r="J22" s="25" t="n">
        <x:v>0.03812188667724085</x:v>
      </x:c>
      <x:c r="K22" s="25" t="n">
        <x:v>0.05</x:v>
      </x:c>
      <x:c r="L22" s="35" t="b">
        <x:v>1</x:v>
      </x:c>
    </x:row>
    <x:row r="23" ht="19" customHeight="1">
      <x:c r="A23" s="25" t="str">
        <x:v>B_balanced</x:v>
      </x:c>
      <x:c r="B23" s="25" t="n">
        <x:v>0.06229501099661933</x:v>
      </x:c>
      <x:c r="C23" s="25" t="n">
        <x:v>0.135517139236712</x:v>
      </x:c>
      <x:c r="D23" s="25" t="n">
        <x:v>0.5499999999999999</x:v>
      </x:c>
      <x:c r="E23" s="25" t="n">
        <x:v>0.85</x:v>
      </x:c>
      <x:c r="F23" s="30" t="n">
        <x:v>0.5500154846701766</x:v>
      </x:c>
      <x:c r="G23" s="30" t="n">
        <x:v>0.299969030659647</x:v>
      </x:c>
      <x:c r="H23" s="30" t="n">
        <x:v>0.03682432432432432</x:v>
      </x:c>
      <x:c r="I23" s="25" t="n">
        <x:v>0.03310326112867879</x:v>
      </x:c>
      <x:c r="J23" s="25" t="n">
        <x:v>0.0409459507882593</x:v>
      </x:c>
      <x:c r="K23" s="25" t="n">
        <x:v>0.05</x:v>
      </x:c>
      <x:c r="L23" s="35" t="b">
        <x:v>1</x:v>
      </x:c>
    </x:row>
    <x:row r="24" ht="19" customHeight="1">
      <x:c r="A24" s="25" t="str">
        <x:v>B_balanced</x:v>
      </x:c>
      <x:c r="B24" s="25" t="n">
        <x:v>0.06917292484608586</x:v>
      </x:c>
      <x:c r="C24" s="25" t="n">
        <x:v>0.135517139236712</x:v>
      </x:c>
      <x:c r="D24" s="25" t="n">
        <x:v>0.5999999999999999</x:v>
      </x:c>
      <x:c r="E24" s="25" t="n">
        <x:v>0.85</x:v>
      </x:c>
      <x:c r="F24" s="30" t="n">
        <x:v>0.6</x:v>
      </x:c>
      <x:c r="G24" s="30" t="n">
        <x:v>0.24998451532982346</x:v>
      </x:c>
      <x:c r="H24" s="30" t="n">
        <x:v>0.03974398678641478</x:v>
      </x:c>
      <x:c r="I24" s="25" t="n">
        <x:v>0.0360326309586441</x:v>
      </x:c>
      <x:c r="J24" s="25" t="n">
        <x:v>0.04382023446165812</x:v>
      </x:c>
      <x:c r="K24" s="25" t="n">
        <x:v>0.05</x:v>
      </x:c>
      <x:c r="L24" s="35" t="b">
        <x:v>1</x:v>
      </x:c>
    </x:row>
    <x:row r="25" ht="19" customHeight="1">
      <x:c r="A25" s="25" t="str">
        <x:v>B_balanced</x:v>
      </x:c>
      <x:c r="B25" s="25" t="n">
        <x:v>0.07693567261453998</x:v>
      </x:c>
      <x:c r="C25" s="25" t="n">
        <x:v>0.135517139236712</x:v>
      </x:c>
      <x:c r="D25" s="25" t="n">
        <x:v>0.6499999999999999</x:v>
      </x:c>
      <x:c r="E25" s="25" t="n">
        <x:v>0.85</x:v>
      </x:c>
      <x:c r="F25" s="30" t="n">
        <x:v>0.6499845153298235</x:v>
      </x:c>
      <x:c r="G25" s="30" t="n">
        <x:v>0.2</x:v>
      </x:c>
      <x:c r="H25" s="30" t="n">
        <x:v>0.04259576901086335</x:v>
      </x:c>
      <x:c r="I25" s="25" t="n">
        <x:v>0.03889648380336959</x:v>
      </x:c>
      <x:c r="J25" s="25" t="n">
        <x:v>0.04662980865804807</x:v>
      </x:c>
      <x:c r="K25" s="25" t="n">
        <x:v>0.05</x:v>
      </x:c>
      <x:c r="L25" s="35" t="b">
        <x:v>1</x:v>
      </x:c>
    </x:row>
    <x:row r="26" ht="19" customHeight="1">
      <x:c r="A26" s="25" t="str">
        <x:v>B_balanced</x:v>
      </x:c>
      <x:c r="B26" s="25" t="n">
        <x:v>0.08687719988197068</x:v>
      </x:c>
      <x:c r="C26" s="25" t="n">
        <x:v>0.135517139236712</x:v>
      </x:c>
      <x:c r="D26" s="25" t="n">
        <x:v>0.7</x:v>
      </x:c>
      <x:c r="E26" s="25" t="n">
        <x:v>0.85</x:v>
      </x:c>
      <x:c r="F26" s="30" t="n">
        <x:v>0.699969030659647</x:v>
      </x:c>
      <x:c r="G26" s="30" t="n">
        <x:v>0.15001548467017653</x:v>
      </x:c>
      <x:c r="H26" s="30" t="n">
        <x:v>0.04486328643482878</x:v>
      </x:c>
      <x:c r="I26" s="25" t="n">
        <x:v>0.04119893675125644</x:v>
      </x:c>
      <x:c r="J26" s="25" t="n">
        <x:v>0.0488369529627488</x:v>
      </x:c>
      <x:c r="K26" s="25" t="n">
        <x:v>0.05</x:v>
      </x:c>
      <x:c r="L26" s="35" t="b">
        <x:v>1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4b33862a5630401a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7" customHeight="1">
      <x:c r="A1" s="12" t="str">
        <x:v>策略效果 | 30%回顾留出集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 ht="32" customHeight="1">
      <x:c r="A2" s="15" t="str">
        <x:v>来源：outputs/phase3/strategy_test_metrics.csv；示例规则不是机构真实原有规则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4" ht="42" customHeight="1">
      <x:c r="A4" s="20" t="str">
        <x:v>strategy</x:v>
      </x:c>
      <x:c r="B4" s="20" t="str">
        <x:v>auto_approve_share</x:v>
      </x:c>
      <x:c r="C4" s="20" t="str">
        <x:v>manual_share</x:v>
      </x:c>
      <x:c r="D4" s="20" t="str">
        <x:v>auto_reject_share</x:v>
      </x:c>
      <x:c r="E4" s="20" t="str">
        <x:v>automatic_decision_share</x:v>
      </x:c>
      <x:c r="F4" s="20" t="str">
        <x:v>auto_approve_target_rate</x:v>
      </x:c>
      <x:c r="G4" s="20" t="str">
        <x:v>high_target_capture</x:v>
      </x:c>
      <x:c r="H4" s="20" t="str">
        <x:v>projected_approval_share</x:v>
      </x:c>
      <x:c r="I4" s="20" t="str">
        <x:v>projected_approved_target_rate</x:v>
      </x:c>
      <x:c r="J4" s="20" t="str">
        <x:v>manual_acceptance_assumption</x:v>
      </x:c>
      <x:c r="K4" s="20" t="str">
        <x:v>manual_selection_assumption</x:v>
      </x:c>
    </x:row>
    <x:row r="5" ht="19" customHeight="1">
      <x:c r="A5" s="30" t="str">
        <x:v>surrogate_rules</x:v>
      </x:c>
      <x:c r="B5" s="30" t="n">
        <x:v>0.1170572549699742</x:v>
      </x:c>
      <x:c r="C5" s="30" t="n">
        <x:v>0.6486439612374532</x:v>
      </x:c>
      <x:c r="D5" s="30" t="n">
        <x:v>0.23429878379257268</x:v>
      </x:c>
      <x:c r="E5" s="30" t="n">
        <x:v>0.3513560387625469</x:v>
      </x:c>
      <x:c r="F5" s="30" t="n">
        <x:v>0.040466709880544495</x:v>
      </x:c>
      <x:c r="G5" s="25" t="n">
        <x:v>0.4052094522019334</x:v>
      </x:c>
      <x:c r="H5" s="30" t="n">
        <x:v>0.506243631712446</x:v>
      </x:c>
      <x:c r="I5" s="30" t="n">
        <x:v>0.060655632400488185</x:v>
      </x:c>
      <x:c r="J5" s="25" t="n">
        <x:v>0.6</x:v>
      </x:c>
      <x:c r="K5" s="25" t="str">
        <x:v>random within review tier; no outcome oracle</x:v>
      </x:c>
    </x:row>
    <x:row r="6" ht="19" customHeight="1">
      <x:c r="A6" s="30" t="str">
        <x:v>A_conservative</x:v>
      </x:c>
      <x:c r="B6" s="30" t="n">
        <x:v>0.49564246536735534</x:v>
      </x:c>
      <x:c r="C6" s="30" t="n">
        <x:v>0.24792420924837946</x:v>
      </x:c>
      <x:c r="D6" s="30" t="n">
        <x:v>0.25643332538426516</x:v>
      </x:c>
      <x:c r="E6" s="30" t="n">
        <x:v>0.7520757907516206</x:v>
      </x:c>
      <x:c r="F6" s="30" t="n">
        <x:v>0.033285948605795514</x:v>
      </x:c>
      <x:c r="G6" s="25" t="n">
        <x:v>0.5550483351235231</x:v>
      </x:c>
      <x:c r="H6" s="30" t="n">
        <x:v>0.644396990916383</x:v>
      </x:c>
      <x:c r="I6" s="30" t="n">
        <x:v>0.04368845482285418</x:v>
      </x:c>
      <x:c r="J6" s="25" t="n">
        <x:v>0.6</x:v>
      </x:c>
      <x:c r="K6" s="25" t="str">
        <x:v>random within review tier; no outcome oracle</x:v>
      </x:c>
    </x:row>
    <x:row r="7" ht="19" customHeight="1">
      <x:c r="A7" s="30" t="str">
        <x:v>B_balanced</x:v>
      </x:c>
      <x:c r="B7" s="30" t="n">
        <x:v>0.6960782188306198</x:v>
      </x:c>
      <x:c r="C7" s="30" t="n">
        <x:v>0.14844884774643918</x:v>
      </x:c>
      <x:c r="D7" s="30" t="n">
        <x:v>0.15547293342294102</x:v>
      </x:c>
      <x:c r="E7" s="30" t="n">
        <x:v>0.8515511522535608</x:v>
      </x:c>
      <x:c r="F7" s="30" t="n">
        <x:v>0.04469291142394419</x:v>
      </x:c>
      <x:c r="G7" s="25" t="n">
        <x:v>0.40789473684210525</x:v>
      </x:c>
      <x:c r="H7" s="30" t="n">
        <x:v>0.7851475274784832</x:v>
      </x:c>
      <x:c r="I7" s="30" t="n">
        <x:v>0.05237944031035579</x:v>
      </x:c>
      <x:c r="J7" s="25" t="n">
        <x:v>0.6</x:v>
      </x:c>
      <x:c r="K7" s="25" t="str">
        <x:v>random within review tier; no outcome oracle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29365781f5b74f7c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7" customHeight="1">
      <x:c r="A1" s="12" t="str">
        <x:v>分层明细 | 30%回顾留出集</x:v>
      </x:c>
      <x:c r="B1" s="12"/>
      <x:c r="C1" s="12"/>
      <x:c r="D1" s="12"/>
      <x:c r="E1" s="12"/>
      <x:c r="F1" s="12"/>
      <x:c r="G1" s="12"/>
      <x:c r="H1" s="12"/>
      <x:c r="I1" s="12"/>
    </x:row>
    <x:row r="2" ht="32" customHeight="1">
      <x:c r="A2" s="15" t="str">
        <x:v>来源：outputs/phase3/strategy_tiers_test.csv；每档计数、观察标签率、置信区间</x:v>
      </x:c>
      <x:c r="B2" s="15"/>
      <x:c r="C2" s="15"/>
      <x:c r="D2" s="15"/>
      <x:c r="E2" s="15"/>
      <x:c r="F2" s="15"/>
      <x:c r="G2" s="15"/>
      <x:c r="H2" s="15"/>
      <x:c r="I2" s="15"/>
    </x:row>
    <x:row r="4" ht="42" customHeight="1">
      <x:c r="A4" s="20" t="str">
        <x:v>strategy</x:v>
      </x:c>
      <x:c r="B4" s="20" t="str">
        <x:v>tier</x:v>
      </x:c>
      <x:c r="C4" s="20" t="str">
        <x:v>n</x:v>
      </x:c>
      <x:c r="D4" s="20" t="str">
        <x:v>share</x:v>
      </x:c>
      <x:c r="E4" s="20" t="str">
        <x:v>positives</x:v>
      </x:c>
      <x:c r="F4" s="20" t="str">
        <x:v>observed_target_rate</x:v>
      </x:c>
      <x:c r="G4" s="20" t="str">
        <x:v>mean_predicted_risk</x:v>
      </x:c>
      <x:c r="H4" s="20" t="str">
        <x:v>ci_lower</x:v>
      </x:c>
      <x:c r="I4" s="20" t="str">
        <x:v>ci_upper</x:v>
      </x:c>
    </x:row>
    <x:row r="5" ht="19" customHeight="1">
      <x:c r="A5" s="30" t="str">
        <x:v>surrogate_rules</x:v>
      </x:c>
      <x:c r="B5" s="25" t="str">
        <x:v>low</x:v>
      </x:c>
      <x:c r="C5" s="28" t="n">
        <x:v>10799</x:v>
      </x:c>
      <x:c r="D5" s="30" t="n">
        <x:v>0.1170572549699742</x:v>
      </x:c>
      <x:c r="E5" s="28" t="n">
        <x:v>437</x:v>
      </x:c>
      <x:c r="F5" s="30" t="n">
        <x:v>0.040466709880544495</x:v>
      </x:c>
      <x:c r="G5" s="25" t="n">
        <x:v>0.03789499520640197</x:v>
      </x:c>
      <x:c r="H5" s="25" t="n">
        <x:v>0.0369106782363264</x:v>
      </x:c>
      <x:c r="I5" s="25" t="n">
        <x:v>0.044349558912106644</x:v>
      </x:c>
    </x:row>
    <x:row r="6" ht="19" customHeight="1">
      <x:c r="A6" s="30" t="str">
        <x:v>surrogate_rules</x:v>
      </x:c>
      <x:c r="B6" s="25" t="str">
        <x:v>review</x:v>
      </x:c>
      <x:c r="C6" s="28" t="n">
        <x:v>59840</x:v>
      </x:c>
      <x:c r="D6" s="30" t="n">
        <x:v>0.6486439612374532</x:v>
      </x:c>
      <x:c r="E6" s="28" t="n">
        <x:v>3993</x:v>
      </x:c>
      <x:c r="F6" s="30" t="n">
        <x:v>0.06672794117647059</x:v>
      </x:c>
      <x:c r="G6" s="25" t="n">
        <x:v>0.06673575960215176</x:v>
      </x:c>
      <x:c r="H6" s="25" t="n">
        <x:v>0.06475617542598774</x:v>
      </x:c>
      <x:c r="I6" s="25" t="n">
        <x:v>0.0687553315904628</x:v>
      </x:c>
    </x:row>
    <x:row r="7" ht="19" customHeight="1">
      <x:c r="A7" s="30" t="str">
        <x:v>surrogate_rules</x:v>
      </x:c>
      <x:c r="B7" s="25" t="str">
        <x:v>high</x:v>
      </x:c>
      <x:c r="C7" s="28" t="n">
        <x:v>21615</x:v>
      </x:c>
      <x:c r="D7" s="30" t="n">
        <x:v>0.23429878379257268</x:v>
      </x:c>
      <x:c r="E7" s="28" t="n">
        <x:v>3018</x:v>
      </x:c>
      <x:c r="F7" s="30" t="n">
        <x:v>0.13962526023594726</x:v>
      </x:c>
      <x:c r="G7" s="25" t="n">
        <x:v>0.1414273899673825</x:v>
      </x:c>
      <x:c r="H7" s="25" t="n">
        <x:v>0.135068684255664</x:v>
      </x:c>
      <x:c r="I7" s="25" t="n">
        <x:v>0.14430990642068242</x:v>
      </x:c>
    </x:row>
    <x:row r="8" ht="19" customHeight="1">
      <x:c r="A8" s="30" t="str">
        <x:v>A_conservative</x:v>
      </x:c>
      <x:c r="B8" s="25" t="str">
        <x:v>low</x:v>
      </x:c>
      <x:c r="C8" s="28" t="n">
        <x:v>45725</x:v>
      </x:c>
      <x:c r="D8" s="30" t="n">
        <x:v>0.49564246536735534</x:v>
      </x:c>
      <x:c r="E8" s="28" t="n">
        <x:v>1522</x:v>
      </x:c>
      <x:c r="F8" s="30" t="n">
        <x:v>0.033285948605795514</x:v>
      </x:c>
      <x:c r="G8" s="25" t="n">
        <x:v>0.03377402281948502</x:v>
      </x:c>
      <x:c r="H8" s="25" t="n">
        <x:v>0.03168057151707562</x:v>
      </x:c>
      <x:c r="I8" s="25" t="n">
        <x:v>0.03496973847525836</x:v>
      </x:c>
    </x:row>
    <x:row r="9" ht="19" customHeight="1">
      <x:c r="A9" s="30" t="str">
        <x:v>A_conservative</x:v>
      </x:c>
      <x:c r="B9" s="25" t="str">
        <x:v>review</x:v>
      </x:c>
      <x:c r="C9" s="28" t="n">
        <x:v>22872</x:v>
      </x:c>
      <x:c r="D9" s="30" t="n">
        <x:v>0.24792420924837946</x:v>
      </x:c>
      <x:c r="E9" s="28" t="n">
        <x:v>1792</x:v>
      </x:c>
      <x:c r="F9" s="30" t="n">
        <x:v>0.07834907310248339</x:v>
      </x:c>
      <x:c r="G9" s="25" t="n">
        <x:v>0.07412831391184338</x:v>
      </x:c>
      <x:c r="H9" s="25" t="n">
        <x:v>0.07493691150464751</x:v>
      </x:c>
      <x:c r="I9" s="25" t="n">
        <x:v>0.08190284738593785</x:v>
      </x:c>
    </x:row>
    <x:row r="10" ht="19" customHeight="1">
      <x:c r="A10" s="30" t="str">
        <x:v>A_conservative</x:v>
      </x:c>
      <x:c r="B10" s="25" t="str">
        <x:v>high</x:v>
      </x:c>
      <x:c r="C10" s="28" t="n">
        <x:v>23657</x:v>
      </x:c>
      <x:c r="D10" s="30" t="n">
        <x:v>0.25643332538426516</x:v>
      </x:c>
      <x:c r="E10" s="28" t="n">
        <x:v>4134</x:v>
      </x:c>
      <x:c r="F10" s="30" t="n">
        <x:v>0.17474743204971044</x:v>
      </x:c>
      <x:c r="G10" s="25" t="n">
        <x:v>0.17837718023244853</x:v>
      </x:c>
      <x:c r="H10" s="25" t="n">
        <x:v>0.1699612152929872</x:v>
      </x:c>
      <x:c r="I10" s="25" t="n">
        <x:v>0.1796392616476575</x:v>
      </x:c>
    </x:row>
    <x:row r="11" ht="19" customHeight="1">
      <x:c r="A11" s="30" t="str">
        <x:v>B_balanced</x:v>
      </x:c>
      <x:c r="B11" s="25" t="str">
        <x:v>low</x:v>
      </x:c>
      <x:c r="C11" s="28" t="n">
        <x:v>64216</x:v>
      </x:c>
      <x:c r="D11" s="30" t="n">
        <x:v>0.6960782188306198</x:v>
      </x:c>
      <x:c r="E11" s="28" t="n">
        <x:v>2870</x:v>
      </x:c>
      <x:c r="F11" s="30" t="n">
        <x:v>0.04469291142394419</x:v>
      </x:c>
      <x:c r="G11" s="25" t="n">
        <x:v>0.04414277508920696</x:v>
      </x:c>
      <x:c r="H11" s="25" t="n">
        <x:v>0.04312181333321132</x:v>
      </x:c>
      <x:c r="I11" s="25" t="n">
        <x:v>0.04631848001450402</x:v>
      </x:c>
    </x:row>
    <x:row r="12" ht="19" customHeight="1">
      <x:c r="A12" s="30" t="str">
        <x:v>B_balanced</x:v>
      </x:c>
      <x:c r="B12" s="25" t="str">
        <x:v>review</x:v>
      </x:c>
      <x:c r="C12" s="28" t="n">
        <x:v>13695</x:v>
      </x:c>
      <x:c r="D12" s="30" t="n">
        <x:v>0.14844884774643918</x:v>
      </x:c>
      <x:c r="E12" s="28" t="n">
        <x:v>1540</x:v>
      </x:c>
      <x:c r="F12" s="30" t="n">
        <x:v>0.11244979919678715</x:v>
      </x:c>
      <x:c r="G12" s="25" t="n">
        <x:v>0.10781370101711353</x:v>
      </x:c>
      <x:c r="H12" s="25" t="n">
        <x:v>0.10726704029527889</x:v>
      </x:c>
      <x:c r="I12" s="25" t="n">
        <x:v>0.11784991343331587</x:v>
      </x:c>
    </x:row>
    <x:row r="13" ht="19" customHeight="1">
      <x:c r="A13" s="30" t="str">
        <x:v>B_balanced</x:v>
      </x:c>
      <x:c r="B13" s="25" t="str">
        <x:v>high</x:v>
      </x:c>
      <x:c r="C13" s="28" t="n">
        <x:v>14343</x:v>
      </x:c>
      <x:c r="D13" s="30" t="n">
        <x:v>0.15547293342294102</x:v>
      </x:c>
      <x:c r="E13" s="28" t="n">
        <x:v>3038</x:v>
      </x:c>
      <x:c r="F13" s="30" t="n">
        <x:v>0.2118106393362616</x:v>
      </x:c>
      <x:c r="G13" s="25" t="n">
        <x:v>0.2195125051533002</x:v>
      </x:c>
      <x:c r="H13" s="25" t="n">
        <x:v>0.20520147039157188</x:v>
      </x:c>
      <x:c r="I13" s="25" t="n">
        <x:v>0.21857413738045792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3949d118f1f4241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7" customHeight="1">
      <x:c r="A1" s="12" t="str">
        <x:v>群体审计 | 30%回顾留出集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 ht="32" customHeight="1">
      <x:c r="A2" s="15" t="str">
        <x:v>来源：outputs/phase3/fairness_test_groups.csv；差异审计不等于公平或合规认证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4" ht="42" customHeight="1">
      <x:c r="A4" s="20" t="str">
        <x:v>attribute</x:v>
      </x:c>
      <x:c r="B4" s="20" t="str">
        <x:v>group</x:v>
      </x:c>
      <x:c r="C4" s="20" t="str">
        <x:v>n</x:v>
      </x:c>
      <x:c r="D4" s="20" t="str">
        <x:v>target_rate</x:v>
      </x:c>
      <x:c r="E4" s="20" t="str">
        <x:v>auto_approve_share</x:v>
      </x:c>
      <x:c r="F4" s="20" t="str">
        <x:v>approval_ci_lower</x:v>
      </x:c>
      <x:c r="G4" s="20" t="str">
        <x:v>approval_ci_upper</x:v>
      </x:c>
      <x:c r="H4" s="20" t="str">
        <x:v>high_risk_tpr</x:v>
      </x:c>
      <x:c r="I4" s="20" t="str">
        <x:v>high_risk_fpr</x:v>
      </x:c>
      <x:c r="J4" s="20" t="str">
        <x:v>auc</x:v>
      </x:c>
      <x:c r="K4" s="20" t="str">
        <x:v>sufficient_support</x:v>
      </x:c>
      <x:c r="L4" s="20" t="str">
        <x:v>approval_ratio_to_max_group</x:v>
      </x:c>
    </x:row>
    <x:row r="5" ht="19" customHeight="1">
      <x:c r="A5" s="25" t="str">
        <x:v>gender</x:v>
      </x:c>
      <x:c r="B5" s="25" t="str">
        <x:v>F</x:v>
      </x:c>
      <x:c r="C5" s="28" t="n">
        <x:v>60826</x:v>
      </x:c>
      <x:c r="D5" s="30" t="n">
        <x:v>0.0700687206128958</x:v>
      </x:c>
      <x:c r="E5" s="30" t="n">
        <x:v>0.7325650215368428</x:v>
      </x:c>
      <x:c r="F5" s="25" t="n">
        <x:v>0.7290329027035253</x:v>
      </x:c>
      <x:c r="G5" s="25" t="n">
        <x:v>0.7360677669924909</x:v>
      </x:c>
      <x:c r="H5" s="25" t="n">
        <x:v>0.3552322853120601</x:v>
      </x:c>
      <x:c r="I5" s="25" t="n">
        <x:v>0.11068877731419277</x:v>
      </x:c>
      <x:c r="J5" s="25" t="n">
        <x:v>0.7278090098213438</x:v>
      </x:c>
      <x:c r="K5" s="35" t="b">
        <x:v>1</x:v>
      </x:c>
      <x:c r="L5" s="25" t="n">
        <x:v>1</x:v>
      </x:c>
    </x:row>
    <x:row r="6" ht="19" customHeight="1">
      <x:c r="A6" s="25" t="str">
        <x:v>gender</x:v>
      </x:c>
      <x:c r="B6" s="25" t="str">
        <x:v>M</x:v>
      </x:c>
      <x:c r="C6" s="28" t="n">
        <x:v>31426</x:v>
      </x:c>
      <x:c r="D6" s="30" t="n">
        <x:v>0.10138102208362502</x:v>
      </x:c>
      <x:c r="E6" s="30" t="n">
        <x:v>0.6254375357983835</x:v>
      </x:c>
      <x:c r="F6" s="25" t="n">
        <x:v>0.6200712299725625</x:v>
      </x:c>
      <x:c r="G6" s="25" t="n">
        <x:v>0.630773178846031</x:v>
      </x:c>
      <x:c r="H6" s="25" t="n">
        <x:v>0.4783427495291902</x:v>
      </x:c>
      <x:c r="I6" s="25" t="n">
        <x:v>0.17861189801699717</x:v>
      </x:c>
      <x:c r="J6" s="25" t="n">
        <x:v>0.7317415827744967</x:v>
      </x:c>
      <x:c r="K6" s="35" t="b">
        <x:v>1</x:v>
      </x:c>
      <x:c r="L6" s="25" t="n">
        <x:v>0.8537638535979819</x:v>
      </x:c>
    </x:row>
    <x:row r="7" ht="19" customHeight="1">
      <x:c r="A7" s="25" t="str">
        <x:v>gender</x:v>
      </x:c>
      <x:c r="B7" s="25" t="str">
        <x:v>XNA</x:v>
      </x:c>
      <x:c r="C7" s="28" t="n">
        <x:v>2</x:v>
      </x:c>
      <x:c r="D7" s="30" t="n">
        <x:v>0</x:v>
      </x:c>
      <x:c r="E7" s="30" t="n">
        <x:v>1</x:v>
      </x:c>
      <x:c r="F7" s="25" t="n">
        <x:v>0.3423802275066531</x:v>
      </x:c>
      <x:c r="G7" s="25" t="n">
        <x:v>1</x:v>
      </x:c>
      <x:c r="H7" s="25"/>
      <x:c r="I7" s="25" t="n">
        <x:v>0</x:v>
      </x:c>
      <x:c r="J7" s="25"/>
      <x:c r="K7" s="35" t="b">
        <x:v>0</x:v>
      </x:c>
      <x:c r="L7" s="25"/>
    </x:row>
    <x:row r="8" ht="19" customHeight="1">
      <x:c r="A8" s="25" t="str">
        <x:v>age_band</x:v>
      </x:c>
      <x:c r="B8" s="25" t="str">
        <x:v>30to44</x:v>
      </x:c>
      <x:c r="C8" s="28" t="n">
        <x:v>37051</x:v>
      </x:c>
      <x:c r="D8" s="30" t="n">
        <x:v>0.08960621845564222</x:v>
      </x:c>
      <x:c r="E8" s="30" t="n">
        <x:v>0.6688888289115004</x:v>
      </x:c>
      <x:c r="F8" s="25" t="n">
        <x:v>0.6640795896232139</x:v>
      </x:c>
      <x:c r="G8" s="25" t="n">
        <x:v>0.6736630509412589</x:v>
      </x:c>
      <x:c r="H8" s="25" t="n">
        <x:v>0.4355421686746988</x:v>
      </x:c>
      <x:c r="I8" s="25" t="n">
        <x:v>0.1464231715632504</x:v>
      </x:c>
      <x:c r="J8" s="25" t="n">
        <x:v>0.7386598095563304</x:v>
      </x:c>
      <x:c r="K8" s="35" t="b">
        <x:v>1</x:v>
      </x:c>
      <x:c r="L8" s="25" t="n">
        <x:v>0.7512233599210344</x:v>
      </x:c>
    </x:row>
    <x:row r="9" ht="19" customHeight="1">
      <x:c r="A9" s="25" t="str">
        <x:v>age_band</x:v>
      </x:c>
      <x:c r="B9" s="25" t="str">
        <x:v>45to59</x:v>
      </x:c>
      <x:c r="C9" s="28" t="n">
        <x:v>30977</x:v>
      </x:c>
      <x:c r="D9" s="30" t="n">
        <x:v>0.06695290053910966</x:v>
      </x:c>
      <x:c r="E9" s="30" t="n">
        <x:v>0.7575297801594731</x:v>
      </x:c>
      <x:c r="F9" s="25" t="n">
        <x:v>0.7527254101562857</x:v>
      </x:c>
      <x:c r="G9" s="25" t="n">
        <x:v>0.7622702855289707</x:v>
      </x:c>
      <x:c r="H9" s="25" t="n">
        <x:v>0.3191899710703954</x:v>
      </x:c>
      <x:c r="I9" s="25" t="n">
        <x:v>0.09362349929073106</x:v>
      </x:c>
      <x:c r="J9" s="25" t="n">
        <x:v>0.7203119562186706</x:v>
      </x:c>
      <x:c r="K9" s="35" t="b">
        <x:v>1</x:v>
      </x:c>
      <x:c r="L9" s="25" t="n">
        <x:v>0.8507752590482195</x:v>
      </x:c>
    </x:row>
    <x:row r="10" ht="19" customHeight="1">
      <x:c r="A10" s="25" t="str">
        <x:v>age_band</x:v>
      </x:c>
      <x:c r="B10" s="25" t="str">
        <x:v>60plus</x:v>
      </x:c>
      <x:c r="C10" s="28" t="n">
        <x:v>10666</x:v>
      </x:c>
      <x:c r="D10" s="30" t="n">
        <x:v>0.04903431464466529</x:v>
      </x:c>
      <x:c r="E10" s="30" t="n">
        <x:v>0.8903993999624976</x:v>
      </x:c>
      <x:c r="F10" s="25" t="n">
        <x:v>0.8843297269703848</x:v>
      </x:c>
      <x:c r="G10" s="25" t="n">
        <x:v>0.8961879622700014</x:v>
      </x:c>
      <x:c r="H10" s="25" t="n">
        <x:v>0.12237093690248566</x:v>
      </x:c>
      <x:c r="I10" s="25" t="n">
        <x:v>0.028295376121463076</x:v>
      </x:c>
      <x:c r="J10" s="25" t="n">
        <x:v>0.7054414416859934</x:v>
      </x:c>
      <x:c r="K10" s="35" t="b">
        <x:v>1</x:v>
      </x:c>
      <x:c r="L10" s="25" t="n">
        <x:v>1</x:v>
      </x:c>
    </x:row>
    <x:row r="11" ht="19" customHeight="1">
      <x:c r="A11" s="25" t="str">
        <x:v>age_band</x:v>
      </x:c>
      <x:c r="B11" s="25" t="str">
        <x:v>under30</x:v>
      </x:c>
      <x:c r="C11" s="28" t="n">
        <x:v>13560</x:v>
      </x:c>
      <x:c r="D11" s="30" t="n">
        <x:v>0.112905604719764</x:v>
      </x:c>
      <x:c r="E11" s="30" t="n">
        <x:v>0.4771386430678466</x:v>
      </x:c>
      <x:c r="F11" s="25" t="n">
        <x:v>0.4687394457727471</x:v>
      </x:c>
      <x:c r="G11" s="25" t="n">
        <x:v>0.4855507896386371</x:v>
      </x:c>
      <x:c r="H11" s="25" t="n">
        <x:v>0.565643370346179</x:v>
      </x:c>
      <x:c r="I11" s="25" t="n">
        <x:v>0.28040568625820933</x:v>
      </x:c>
      <x:c r="J11" s="25" t="n">
        <x:v>0.702756874457379</x:v>
      </x:c>
      <x:c r="K11" s="35" t="b">
        <x:v>1</x:v>
      </x:c>
      <x:c r="L11" s="25" t="n">
        <x:v>0.5358703555819366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218b77a33da4978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12" t="str">
        <x:v>SHAP因子 | 1500条留出集样本</x:v>
      </x:c>
      <x:c r="B1" s="12"/>
      <x:c r="C1" s="12"/>
      <x:c r="D1" s="12"/>
    </x:row>
    <x:row r="2" ht="32" customHeight="1">
      <x:c r="A2" s="15" t="str">
        <x:v>来源：outputs/phase3/shap_global_importance.csv；贡献单位为校准logit，不是因果效果</x:v>
      </x:c>
      <x:c r="B2" s="15"/>
      <x:c r="C2" s="15"/>
      <x:c r="D2" s="15"/>
    </x:row>
    <x:row r="4" ht="42" customHeight="1">
      <x:c r="A4" s="20" t="str">
        <x:v>feature</x:v>
      </x:c>
      <x:c r="B4" s="20" t="str">
        <x:v>mean_absolute_shap</x:v>
      </x:c>
      <x:c r="C4" s="20" t="str">
        <x:v>spearman_value_vs_shap</x:v>
      </x:c>
      <x:c r="D4" s="20" t="str">
        <x:v>gain_importance</x:v>
      </x:c>
    </x:row>
    <x:row r="5" ht="19" customHeight="1">
      <x:c r="A5" s="25" t="str">
        <x:v>EXT_SOURCE_2</x:v>
      </x:c>
      <x:c r="B5" s="25" t="n">
        <x:v>0.3263352635119427</x:v>
      </x:c>
      <x:c r="C5" s="25" t="n">
        <x:v>-0.9923310902439277</x:v>
      </x:c>
      <x:c r="D5" s="25" t="n">
        <x:v>58253.558804273605</x:v>
      </x:c>
    </x:row>
    <x:row r="6" ht="19" customHeight="1">
      <x:c r="A6" s="25" t="str">
        <x:v>ANNUITY_CREDIT_RATIO</x:v>
      </x:c>
      <x:c r="B6" s="25" t="n">
        <x:v>0.18133071013348523</x:v>
      </x:c>
      <x:c r="C6" s="25" t="n">
        <x:v>0.1645250943289419</x:v>
      </x:c>
      <x:c r="D6" s="25" t="n">
        <x:v>34672.02144026756</x:v>
      </x:c>
    </x:row>
    <x:row r="7" ht="19" customHeight="1">
      <x:c r="A7" s="25" t="str">
        <x:v>EMPLOYMENT_YEARS</x:v>
      </x:c>
      <x:c r="B7" s="25" t="n">
        <x:v>0.14793808450094523</x:v>
      </x:c>
      <x:c r="C7" s="25" t="n">
        <x:v>-0.9649970243192436</x:v>
      </x:c>
      <x:c r="D7" s="25" t="n">
        <x:v>18758.76927113533</x:v>
      </x:c>
    </x:row>
    <x:row r="8" ht="19" customHeight="1">
      <x:c r="A8" s="25" t="str">
        <x:v>CREDIT_GOODS_RATIO</x:v>
      </x:c>
      <x:c r="B8" s="25" t="n">
        <x:v>0.12919252698693842</x:v>
      </x:c>
      <x:c r="C8" s="25" t="n">
        <x:v>0.9150669326604199</x:v>
      </x:c>
      <x:c r="D8" s="25" t="n">
        <x:v>13306.767819106579</x:v>
      </x:c>
    </x:row>
    <x:row r="9" ht="19" customHeight="1">
      <x:c r="A9" s="25" t="str">
        <x:v>ORGANIZATION_TYPE</x:v>
      </x:c>
      <x:c r="B9" s="25" t="n">
        <x:v>0.0905166406379638</x:v>
      </x:c>
      <x:c r="C9" s="25"/>
      <x:c r="D9" s="25" t="n">
        <x:v>33502.04555153847</x:v>
      </x:c>
    </x:row>
    <x:row r="10" ht="19" customHeight="1">
      <x:c r="A10" s="25" t="str">
        <x:v>OWN_CAR_AGE</x:v>
      </x:c>
      <x:c r="B10" s="25" t="n">
        <x:v>0.08163490971164394</x:v>
      </x:c>
      <x:c r="C10" s="25" t="n">
        <x:v>0.7745064985539453</x:v>
      </x:c>
      <x:c r="D10" s="25" t="n">
        <x:v>4810.093590736389</x:v>
      </x:c>
    </x:row>
    <x:row r="11" ht="19" customHeight="1">
      <x:c r="A11" s="25" t="str">
        <x:v>NAME_EDUCATION_TYPE</x:v>
      </x:c>
      <x:c r="B11" s="25" t="n">
        <x:v>0.08146895084812537</x:v>
      </x:c>
      <x:c r="C11" s="25"/>
      <x:c r="D11" s="25" t="n">
        <x:v>4458.497458219528</x:v>
      </x:c>
    </x:row>
    <x:row r="12" ht="19" customHeight="1">
      <x:c r="A12" s="25" t="str">
        <x:v>OCCUPATION_TYPE</x:v>
      </x:c>
      <x:c r="B12" s="25" t="n">
        <x:v>0.07980338146569861</x:v>
      </x:c>
      <x:c r="C12" s="25"/>
      <x:c r="D12" s="25" t="n">
        <x:v>11010.241075754166</x:v>
      </x:c>
    </x:row>
    <x:row r="13" ht="19" customHeight="1">
      <x:c r="A13" s="25" t="str">
        <x:v>AMT_GOODS_PRICE</x:v>
      </x:c>
      <x:c r="B13" s="25" t="n">
        <x:v>0.07657309896284704</x:v>
      </x:c>
      <x:c r="C13" s="25" t="n">
        <x:v>-0.6261036204155747</x:v>
      </x:c>
      <x:c r="D13" s="25" t="n">
        <x:v>7442.192178010941</x:v>
      </x:c>
    </x:row>
    <x:row r="14" ht="19" customHeight="1">
      <x:c r="A14" s="25" t="str">
        <x:v>AMT_ANNUITY</x:v>
      </x:c>
      <x:c r="B14" s="25" t="n">
        <x:v>0.06433512593214612</x:v>
      </x:c>
      <x:c r="C14" s="25" t="n">
        <x:v>0.8047197707516118</x:v>
      </x:c>
      <x:c r="D14" s="25" t="n">
        <x:v>5964.717844009399</x:v>
      </x:c>
    </x:row>
    <x:row r="15" ht="19" customHeight="1">
      <x:c r="A15" s="25" t="str">
        <x:v>ID_AGE_YEARS</x:v>
      </x:c>
      <x:c r="B15" s="25" t="n">
        <x:v>0.06008320246268996</x:v>
      </x:c>
      <x:c r="C15" s="25" t="n">
        <x:v>-0.9145568480169939</x:v>
      </x:c>
      <x:c r="D15" s="25" t="n">
        <x:v>6531.343210101128</x:v>
      </x:c>
    </x:row>
    <x:row r="16" ht="19" customHeight="1">
      <x:c r="A16" s="25" t="str">
        <x:v>FLAG_WORK_PHONE</x:v>
      </x:c>
      <x:c r="B16" s="25" t="n">
        <x:v>0.05343062437473069</x:v>
      </x:c>
      <x:c r="C16" s="25" t="n">
        <x:v>0.6935735189766525</x:v>
      </x:c>
      <x:c r="D16" s="25" t="n">
        <x:v>1880.9857594966888</x:v>
      </x:c>
    </x:row>
    <x:row r="17" ht="19" customHeight="1">
      <x:c r="A17" s="25" t="str">
        <x:v>PHONE_CHANGE_YEARS</x:v>
      </x:c>
      <x:c r="B17" s="25" t="n">
        <x:v>0.046527276934181204</x:v>
      </x:c>
      <x:c r="C17" s="25" t="n">
        <x:v>-0.543774137659142</x:v>
      </x:c>
      <x:c r="D17" s="25" t="n">
        <x:v>6417.815465688705</x:v>
      </x:c>
    </x:row>
    <x:row r="18" ht="19" customHeight="1">
      <x:c r="A18" s="25" t="str">
        <x:v>EXT2_RISK_X_ANNUITY_INCOME</x:v>
      </x:c>
      <x:c r="B18" s="25" t="n">
        <x:v>0.04364681479629539</x:v>
      </x:c>
      <x:c r="C18" s="25" t="n">
        <x:v>0.9487010593187808</x:v>
      </x:c>
      <x:c r="D18" s="25" t="n">
        <x:v>8209.775610923767</x:v>
      </x:c>
    </x:row>
    <x:row r="19" ht="19" customHeight="1">
      <x:c r="A19" s="25" t="str">
        <x:v>AMT_REQ_CREDIT_BUREAU_YEAR</x:v>
      </x:c>
      <x:c r="B19" s="25" t="n">
        <x:v>0.039792691246460066</x:v>
      </x:c>
      <x:c r="C19" s="25" t="n">
        <x:v>0.8132054927844707</x:v>
      </x:c>
      <x:c r="D19" s="25" t="n">
        <x:v>2993.225172519684</x:v>
      </x:c>
    </x:row>
    <x:row r="20" ht="19" customHeight="1">
      <x:c r="A20" s="25" t="str">
        <x:v>AMT_INCOME_TOTAL</x:v>
      </x:c>
      <x:c r="B20" s="25" t="n">
        <x:v>0.03890860020430299</x:v>
      </x:c>
      <x:c r="C20" s="25" t="n">
        <x:v>0.9304380198146018</x:v>
      </x:c>
      <x:c r="D20" s="25" t="n">
        <x:v>2859.5237267017365</x:v>
      </x:c>
    </x:row>
    <x:row r="21" ht="19" customHeight="1">
      <x:c r="A21" s="25" t="str">
        <x:v>REGION_POPULATION_RELATIVE</x:v>
      </x:c>
      <x:c r="B21" s="25" t="n">
        <x:v>0.03538078793231756</x:v>
      </x:c>
      <x:c r="C21" s="25" t="n">
        <x:v>0.5438041920803353</x:v>
      </x:c>
      <x:c r="D21" s="25" t="n">
        <x:v>2521.1988365650177</x:v>
      </x:c>
    </x:row>
    <x:row r="22" ht="19" customHeight="1">
      <x:c r="A22" s="25" t="str">
        <x:v>DEF_30_CNT_SOCIAL_CIRCLE</x:v>
      </x:c>
      <x:c r="B22" s="25" t="n">
        <x:v>0.03468824487268907</x:v>
      </x:c>
      <x:c r="C22" s="25" t="n">
        <x:v>0.5617168786584597</x:v>
      </x:c>
      <x:c r="D22" s="25" t="n">
        <x:v>1792.9402432441711</x:v>
      </x:c>
    </x:row>
    <x:row r="23" ht="19" customHeight="1">
      <x:c r="A23" s="25" t="str">
        <x:v>REGISTRATION_YEARS</x:v>
      </x:c>
      <x:c r="B23" s="25" t="n">
        <x:v>0.034476385505536486</x:v>
      </x:c>
      <x:c r="C23" s="25" t="n">
        <x:v>-0.7583083423190113</x:v>
      </x:c>
      <x:c r="D23" s="25" t="n">
        <x:v>5302.859066486359</x:v>
      </x:c>
    </x:row>
    <x:row r="24" ht="19" customHeight="1">
      <x:c r="A24" s="25" t="str">
        <x:v>REGION_RATING_CLIENT_W_CITY</x:v>
      </x:c>
      <x:c r="B24" s="25" t="n">
        <x:v>0.032458968624135595</x:v>
      </x:c>
      <x:c r="C24" s="25" t="n">
        <x:v>0.7635201176273457</x:v>
      </x:c>
      <x:c r="D24" s="25" t="n">
        <x:v>1260.7548575401306</x:v>
      </x:c>
    </x:row>
    <x:row r="25" ht="19" customHeight="1">
      <x:c r="A25" s="25" t="str">
        <x:v>DOCUMENT_COUNT</x:v>
      </x:c>
      <x:c r="B25" s="25" t="n">
        <x:v>0.02952146236426143</x:v>
      </x:c>
      <x:c r="C25" s="25" t="n">
        <x:v>0.24062430232100787</x:v>
      </x:c>
      <x:c r="D25" s="25" t="n">
        <x:v>1860.8639812469482</x:v>
      </x:c>
    </x:row>
    <x:row r="26" ht="19" customHeight="1">
      <x:c r="A26" s="25" t="str">
        <x:v>FLAG_DOCUMENT_3</x:v>
      </x:c>
      <x:c r="B26" s="25" t="n">
        <x:v>0.027909381060353837</x:v>
      </x:c>
      <x:c r="C26" s="25" t="n">
        <x:v>0.7755851592436493</x:v>
      </x:c>
      <x:c r="D26" s="25" t="n">
        <x:v>1151.1022553443909</x:v>
      </x:c>
    </x:row>
    <x:row r="27" ht="19" customHeight="1">
      <x:c r="A27" s="25" t="str">
        <x:v>AMT_REQ_CREDIT_BUREAU_QRT</x:v>
      </x:c>
      <x:c r="B27" s="25" t="n">
        <x:v>0.02453161637657025</x:v>
      </x:c>
      <x:c r="C27" s="25" t="n">
        <x:v>-0.515078954739653</x:v>
      </x:c>
      <x:c r="D27" s="25" t="n">
        <x:v>1599.109186887741</x:v>
      </x:c>
    </x:row>
    <x:row r="28" ht="19" customHeight="1">
      <x:c r="A28" s="25" t="str">
        <x:v>WEEKDAY_APPR_PROCESS_START</x:v>
      </x:c>
      <x:c r="B28" s="25" t="n">
        <x:v>0.022833844332163428</x:v>
      </x:c>
      <x:c r="C28" s="25"/>
      <x:c r="D28" s="25" t="n">
        <x:v>1438.0985579490662</x:v>
      </x:c>
    </x:row>
    <x:row r="29" ht="19" customHeight="1">
      <x:c r="A29" s="25" t="str">
        <x:v>REG_CITY_NOT_LIVE_CITY</x:v>
      </x:c>
      <x:c r="B29" s="25" t="n">
        <x:v>0.020809860066974908</x:v>
      </x:c>
      <x:c r="C29" s="25" t="n">
        <x:v>0.4608326822740481</x:v>
      </x:c>
      <x:c r="D29" s="25" t="n">
        <x:v>1669.0546245574951</x:v>
      </x:c>
    </x:row>
    <x:row r="30" ht="19" customHeight="1">
      <x:c r="A30" s="25" t="str">
        <x:v>AMT_CREDIT</x:v>
      </x:c>
      <x:c r="B30" s="25" t="n">
        <x:v>0.020618909600028712</x:v>
      </x:c>
      <x:c r="C30" s="25" t="n">
        <x:v>0.5120613435597352</x:v>
      </x:c>
      <x:c r="D30" s="25" t="n">
        <x:v>4049.6041502952576</x:v>
      </x:c>
    </x:row>
    <x:row r="31" ht="19" customHeight="1">
      <x:c r="A31" s="25" t="str">
        <x:v>NAME_CONTRACT_TYPE</x:v>
      </x:c>
      <x:c r="B31" s="25" t="n">
        <x:v>0.019023039332984073</x:v>
      </x:c>
      <x:c r="C31" s="25"/>
      <x:c r="D31" s="25" t="n">
        <x:v>722.853865146637</x:v>
      </x:c>
    </x:row>
    <x:row r="32" ht="19" customHeight="1">
      <x:c r="A32" s="25" t="str">
        <x:v>INCOME_PER_MEMBER</x:v>
      </x:c>
      <x:c r="B32" s="25" t="n">
        <x:v>0.018828682281136253</x:v>
      </x:c>
      <x:c r="C32" s="25" t="n">
        <x:v>0.869105688596292</x:v>
      </x:c>
      <x:c r="D32" s="25" t="n">
        <x:v>2689.3527233600616</x:v>
      </x:c>
    </x:row>
    <x:row r="33" ht="19" customHeight="1">
      <x:c r="A33" s="25" t="str">
        <x:v>CREDIT_INCOME_PER_TENURE</x:v>
      </x:c>
      <x:c r="B33" s="25" t="n">
        <x:v>0.018805685855077386</x:v>
      </x:c>
      <x:c r="C33" s="25" t="n">
        <x:v>0.7334062976895906</x:v>
      </x:c>
      <x:c r="D33" s="25" t="n">
        <x:v>3949.691751241684</x:v>
      </x:c>
    </x:row>
    <x:row r="34" ht="19" customHeight="1">
      <x:c r="A34" s="25" t="str">
        <x:v>ANNUITY_INCOME_RATIO</x:v>
      </x:c>
      <x:c r="B34" s="25" t="n">
        <x:v>0.016314155390397347</x:v>
      </x:c>
      <x:c r="C34" s="25" t="n">
        <x:v>-0.19426537687767878</x:v>
      </x:c>
      <x:c r="D34" s="25" t="n">
        <x:v>2608.921637535095</x:v>
      </x:c>
    </x:row>
    <x:row r="35" ht="19" customHeight="1">
      <x:c r="A35" s="25" t="str">
        <x:v>NAME_TYPE_SUITE</x:v>
      </x:c>
      <x:c r="B35" s="25" t="n">
        <x:v>0.014175637241877521</x:v>
      </x:c>
      <x:c r="C35" s="25"/>
      <x:c r="D35" s="25" t="n">
        <x:v>352.55028653144836</x:v>
      </x:c>
    </x:row>
    <x:row r="36" ht="19" customHeight="1">
      <x:c r="A36" s="25" t="str">
        <x:v>EXT2_RISK_X_TENURE</x:v>
      </x:c>
      <x:c r="B36" s="25" t="n">
        <x:v>0.0139383933004302</x:v>
      </x:c>
      <x:c r="C36" s="25" t="n">
        <x:v>0.30047805266467004</x:v>
      </x:c>
      <x:c r="D36" s="25" t="n">
        <x:v>4996.339890956879</x:v>
      </x:c>
    </x:row>
    <x:row r="37" ht="19" customHeight="1">
      <x:c r="A37" s="25" t="str">
        <x:v>YEARS_BEGINEXPLUATATION_AVG</x:v>
      </x:c>
      <x:c r="B37" s="25" t="n">
        <x:v>0.013735736548392247</x:v>
      </x:c>
      <x:c r="C37" s="25" t="n">
        <x:v>-0.7391958494093509</x:v>
      </x:c>
      <x:c r="D37" s="25" t="n">
        <x:v>2197.4514071941376</x:v>
      </x:c>
    </x:row>
    <x:row r="38" ht="19" customHeight="1">
      <x:c r="A38" s="25" t="str">
        <x:v>CREDIT_INCOME_RATIO</x:v>
      </x:c>
      <x:c r="B38" s="25" t="n">
        <x:v>0.012890162354276424</x:v>
      </x:c>
      <x:c r="C38" s="25" t="n">
        <x:v>-0.6734638988779066</x:v>
      </x:c>
      <x:c r="D38" s="25" t="n">
        <x:v>3295.022609472275</x:v>
      </x:c>
    </x:row>
    <x:row r="39" ht="19" customHeight="1">
      <x:c r="A39" s="25" t="str">
        <x:v>HOUR_APPR_PROCESS_START</x:v>
      </x:c>
      <x:c r="B39" s="25" t="n">
        <x:v>0.012678691804002653</x:v>
      </x:c>
      <x:c r="C39" s="25" t="n">
        <x:v>0.16147815124609696</x:v>
      </x:c>
      <x:c r="D39" s="25" t="n">
        <x:v>1257.7251632213593</x:v>
      </x:c>
    </x:row>
    <x:row r="40" ht="19" customHeight="1">
      <x:c r="A40" s="25" t="str">
        <x:v>NAME_HOUSING_TYPE</x:v>
      </x:c>
      <x:c r="B40" s="25" t="n">
        <x:v>0.012665303990977707</x:v>
      </x:c>
      <x:c r="C40" s="25"/>
      <x:c r="D40" s="25" t="n">
        <x:v>695.4030327796936</x:v>
      </x:c>
    </x:row>
    <x:row r="41" ht="19" customHeight="1">
      <x:c r="A41" s="25" t="str">
        <x:v>NAME_INCOME_TYPE</x:v>
      </x:c>
      <x:c r="B41" s="25" t="n">
        <x:v>0.012533381724509424</x:v>
      </x:c>
      <x:c r="C41" s="25"/>
      <x:c r="D41" s="25" t="n">
        <x:v>408.92579102516174</x:v>
      </x:c>
    </x:row>
    <x:row r="42" ht="19" customHeight="1">
      <x:c r="A42" s="25" t="str">
        <x:v>YEARS_BUILD_AVG</x:v>
      </x:c>
      <x:c r="B42" s="25" t="n">
        <x:v>0.011006097629694407</x:v>
      </x:c>
      <x:c r="C42" s="25" t="n">
        <x:v>-0.5039602230039116</x:v>
      </x:c>
      <x:c r="D42" s="25" t="n">
        <x:v>1301.2987158298492</x:v>
      </x:c>
    </x:row>
    <x:row r="43" ht="19" customHeight="1">
      <x:c r="A43" s="25" t="str">
        <x:v>EXT2_RISK_X_CREDIT_INCOME</x:v>
      </x:c>
      <x:c r="B43" s="25" t="n">
        <x:v>0.010923459236788032</x:v>
      </x:c>
      <x:c r="C43" s="25" t="n">
        <x:v>0.8056882718068538</x:v>
      </x:c>
      <x:c r="D43" s="25" t="n">
        <x:v>2515.4552874565125</x:v>
      </x:c>
    </x:row>
    <x:row r="44" ht="19" customHeight="1">
      <x:c r="A44" s="25" t="str">
        <x:v>APARTMENTS_AVG</x:v>
      </x:c>
      <x:c r="B44" s="25" t="n">
        <x:v>0.010683946216929849</x:v>
      </x:c>
      <x:c r="C44" s="25" t="n">
        <x:v>-0.33979329585244383</x:v>
      </x:c>
      <x:c r="D44" s="25" t="n">
        <x:v>2047.9930408000946</x:v>
      </x:c>
    </x:row>
    <x:row r="45" ht="19" customHeight="1">
      <x:c r="A45" s="25" t="str">
        <x:v>LIVINGAPARTMENTS_AVG</x:v>
      </x:c>
      <x:c r="B45" s="25" t="n">
        <x:v>0.010247318259751758</x:v>
      </x:c>
      <x:c r="C45" s="25" t="n">
        <x:v>-0.4575972320642597</x:v>
      </x:c>
      <x:c r="D45" s="25" t="n">
        <x:v>1747.3603236675262</x:v>
      </x:c>
    </x:row>
    <x:row r="46" ht="19" customHeight="1">
      <x:c r="A46" s="25" t="str">
        <x:v>DEF_60_CNT_SOCIAL_CIRCLE</x:v>
      </x:c>
      <x:c r="B46" s="25" t="n">
        <x:v>0.009250901366674169</x:v>
      </x:c>
      <x:c r="C46" s="25" t="n">
        <x:v>0.47895356578029835</x:v>
      </x:c>
      <x:c r="D46" s="25" t="n">
        <x:v>855.1625101566315</x:v>
      </x:c>
    </x:row>
    <x:row r="47" ht="19" customHeight="1">
      <x:c r="A47" s="25" t="str">
        <x:v>BASEMENTAREA_AVG</x:v>
      </x:c>
      <x:c r="B47" s="25" t="n">
        <x:v>0.008850884264601837</x:v>
      </x:c>
      <x:c r="C47" s="25" t="n">
        <x:v>0.14354693887167683</x:v>
      </x:c>
      <x:c r="D47" s="25" t="n">
        <x:v>1652.3773384094238</x:v>
      </x:c>
    </x:row>
    <x:row r="48" ht="19" customHeight="1">
      <x:c r="A48" s="25" t="str">
        <x:v>NONLIVINGAPARTMENTS_AVG</x:v>
      </x:c>
      <x:c r="B48" s="25" t="n">
        <x:v>0.008598881522812834</x:v>
      </x:c>
      <x:c r="C48" s="25" t="n">
        <x:v>0.7143164282084067</x:v>
      </x:c>
      <x:c r="D48" s="25" t="n">
        <x:v>627.0198304653168</x:v>
      </x:c>
    </x:row>
    <x:row r="49" ht="19" customHeight="1">
      <x:c r="A49" s="25" t="str">
        <x:v>COMMONAREA_AVG</x:v>
      </x:c>
      <x:c r="B49" s="25" t="n">
        <x:v>0.0071050146262264776</x:v>
      </x:c>
      <x:c r="C49" s="25" t="n">
        <x:v>-0.003636418073095778</x:v>
      </x:c>
      <x:c r="D49" s="25" t="n">
        <x:v>1518.7603332996368</x:v>
      </x:c>
    </x:row>
    <x:row r="50" ht="19" customHeight="1">
      <x:c r="A50" s="25" t="str">
        <x:v>FLAG_PHONE</x:v>
      </x:c>
      <x:c r="B50" s="25" t="n">
        <x:v>0.006690819949363652</x:v>
      </x:c>
      <x:c r="C50" s="25" t="n">
        <x:v>-0.7165711056294494</x:v>
      </x:c>
      <x:c r="D50" s="25" t="n">
        <x:v>212.81998109817505</x:v>
      </x:c>
    </x:row>
    <x:row r="51" ht="19" customHeight="1">
      <x:c r="A51" s="25" t="str">
        <x:v>LIVINGAREA_AVG</x:v>
      </x:c>
      <x:c r="B51" s="25" t="n">
        <x:v>0.0066454290366765876</x:v>
      </x:c>
      <x:c r="C51" s="25" t="n">
        <x:v>-0.5327248379050677</x:v>
      </x:c>
      <x:c r="D51" s="25" t="n">
        <x:v>1858.7078495025635</x:v>
      </x:c>
    </x:row>
    <x:row r="52" ht="19" customHeight="1">
      <x:c r="A52" s="25" t="str">
        <x:v>LANDAREA_AVG</x:v>
      </x:c>
      <x:c r="B52" s="25" t="n">
        <x:v>0.006551414599264504</x:v>
      </x:c>
      <x:c r="C52" s="25" t="n">
        <x:v>-0.3332003342319203</x:v>
      </x:c>
      <x:c r="D52" s="25" t="n">
        <x:v>1841.051099061966</x:v>
      </x:c>
    </x:row>
    <x:row r="53" ht="19" customHeight="1">
      <x:c r="A53" s="25" t="str">
        <x:v>FLOORSMAX_AVG</x:v>
      </x:c>
      <x:c r="B53" s="25" t="n">
        <x:v>0.0060255507443858205</x:v>
      </x:c>
      <x:c r="C53" s="25" t="n">
        <x:v>-0.4559133034396264</x:v>
      </x:c>
      <x:c r="D53" s="25" t="n">
        <x:v>754.6648318767548</x:v>
      </x:c>
    </x:row>
    <x:row r="54" ht="19" customHeight="1">
      <x:c r="A54" s="25" t="str">
        <x:v>NONLIVINGAREA_AVG</x:v>
      </x:c>
      <x:c r="B54" s="25" t="n">
        <x:v>0.005732591499890534</x:v>
      </x:c>
      <x:c r="C54" s="25" t="n">
        <x:v>-0.2876214313058369</x:v>
      </x:c>
      <x:c r="D54" s="25" t="n">
        <x:v>1573.174054980278</x:v>
      </x:c>
    </x:row>
    <x:row r="55" ht="19" customHeight="1">
      <x:c r="A55" s="25" t="str">
        <x:v>FLOORSMIN_AVG</x:v>
      </x:c>
      <x:c r="B55" s="25" t="n">
        <x:v>0.005482638629517587</x:v>
      </x:c>
      <x:c r="C55" s="25" t="n">
        <x:v>-0.7758979874206111</x:v>
      </x:c>
      <x:c r="D55" s="25" t="n">
        <x:v>653.815999507904</x:v>
      </x:c>
    </x:row>
    <x:row r="56" ht="19" customHeight="1">
      <x:c r="A56" s="25" t="str">
        <x:v>OBS_60_CNT_SOCIAL_CIRCLE</x:v>
      </x:c>
      <x:c r="B56" s="25" t="n">
        <x:v>0.005182488987716201</x:v>
      </x:c>
      <x:c r="C56" s="25" t="n">
        <x:v>0.03522315332340388</x:v>
      </x:c>
      <x:c r="D56" s="25" t="n">
        <x:v>701.1311635971069</x:v>
      </x:c>
    </x:row>
    <x:row r="57" ht="19" customHeight="1">
      <x:c r="A57" s="25" t="str">
        <x:v>ENTRANCES_AVG</x:v>
      </x:c>
      <x:c r="B57" s="25" t="n">
        <x:v>0.0050066310486133175</x:v>
      </x:c>
      <x:c r="C57" s="25" t="n">
        <x:v>-0.6716620608702956</x:v>
      </x:c>
      <x:c r="D57" s="25" t="n">
        <x:v>1068.4448465108871</x:v>
      </x:c>
    </x:row>
    <x:row r="58" ht="19" customHeight="1">
      <x:c r="A58" s="25" t="str">
        <x:v>OBS_30_CNT_SOCIAL_CIRCLE</x:v>
      </x:c>
      <x:c r="B58" s="25" t="n">
        <x:v>0.004780802637361579</x:v>
      </x:c>
      <x:c r="C58" s="25" t="n">
        <x:v>-0.053851450259186945</x:v>
      </x:c>
      <x:c r="D58" s="25" t="n">
        <x:v>946.1554028987885</x:v>
      </x:c>
    </x:row>
    <x:row r="59" ht="19" customHeight="1">
      <x:c r="A59" s="25" t="str">
        <x:v>CNT_FAM_MEMBERS</x:v>
      </x:c>
      <x:c r="B59" s="25" t="n">
        <x:v>0.004162012910822046</x:v>
      </x:c>
      <x:c r="C59" s="25" t="n">
        <x:v>-0.3146212679787514</x:v>
      </x:c>
      <x:c r="D59" s="25" t="n">
        <x:v>497.09364092350006</x:v>
      </x:c>
    </x:row>
    <x:row r="60" ht="19" customHeight="1">
      <x:c r="A60" s="25" t="str">
        <x:v>AMT_REQ_CREDIT_BUREAU_WEEK</x:v>
      </x:c>
      <x:c r="B60" s="25" t="n">
        <x:v>0.0030316068205297657</x:v>
      </x:c>
      <x:c r="C60" s="25" t="n">
        <x:v>-0.13033191912668435</x:v>
      </x:c>
      <x:c r="D60" s="25" t="n">
        <x:v>453.10000944137573</x:v>
      </x:c>
    </x:row>
    <x:row r="61" ht="19" customHeight="1">
      <x:c r="A61" s="25" t="str">
        <x:v>FLAG_OWN_REALTY</x:v>
      </x:c>
      <x:c r="B61" s="25" t="n">
        <x:v>0.0028919815950621407</x:v>
      </x:c>
      <x:c r="C61" s="25"/>
      <x:c r="D61" s="25" t="n">
        <x:v>270.18060064315796</x:v>
      </x:c>
    </x:row>
    <x:row r="62" ht="19" customHeight="1">
      <x:c r="A62" s="25" t="str">
        <x:v>AMT_REQ_CREDIT_BUREAU_MON</x:v>
      </x:c>
      <x:c r="B62" s="25" t="n">
        <x:v>0.002883306608689096</x:v>
      </x:c>
      <x:c r="C62" s="25" t="n">
        <x:v>0.4014220049447543</x:v>
      </x:c>
      <x:c r="D62" s="25" t="n">
        <x:v>555.0276899337769</x:v>
      </x:c>
    </x:row>
    <x:row r="63" ht="19" customHeight="1">
      <x:c r="A63" s="25" t="str">
        <x:v>AMT_REQ_CREDIT_BUREAU_DAY</x:v>
      </x:c>
      <x:c r="B63" s="25" t="n">
        <x:v>0.0028779045835777583</x:v>
      </x:c>
      <x:c r="C63" s="25" t="n">
        <x:v>0.1178498908450374</x:v>
      </x:c>
      <x:c r="D63" s="25" t="n">
        <x:v>220.56253862380981</x:v>
      </x:c>
    </x:row>
    <x:row r="64" ht="19" customHeight="1">
      <x:c r="A64" s="25" t="str">
        <x:v>FLAG_DOCUMENT_8</x:v>
      </x:c>
      <x:c r="B64" s="25" t="n">
        <x:v>0.0025454756153137775</x:v>
      </x:c>
      <x:c r="C64" s="25" t="n">
        <x:v>-0.335668017731956</x:v>
      </x:c>
      <x:c r="D64" s="25" t="n">
        <x:v>76.57730054855347</x:v>
      </x:c>
    </x:row>
    <x:row r="65" ht="19" customHeight="1">
      <x:c r="A65" s="25" t="str">
        <x:v>REGION_RATING_CLIENT</x:v>
      </x:c>
      <x:c r="B65" s="25" t="n">
        <x:v>0.0025406992890642894</x:v>
      </x:c>
      <x:c r="C65" s="25" t="n">
        <x:v>0.49836550380635114</x:v>
      </x:c>
      <x:c r="D65" s="25" t="n">
        <x:v>282.50208711624146</x:v>
      </x:c>
    </x:row>
    <x:row r="66" ht="19" customHeight="1">
      <x:c r="A66" s="25" t="str">
        <x:v>FLAG_OWN_CAR</x:v>
      </x:c>
      <x:c r="B66" s="25" t="n">
        <x:v>0.0025139999286040845</x:v>
      </x:c>
      <x:c r="C66" s="25"/>
      <x:c r="D66" s="25" t="n">
        <x:v>196.91122150421143</x:v>
      </x:c>
    </x:row>
    <x:row r="67" ht="19" customHeight="1">
      <x:c r="A67" s="25" t="str">
        <x:v>ELEVATORS_AVG</x:v>
      </x:c>
      <x:c r="B67" s="25" t="n">
        <x:v>0.0020128757246915224</x:v>
      </x:c>
      <x:c r="C67" s="25" t="n">
        <x:v>-0.4458146247253239</x:v>
      </x:c>
      <x:c r="D67" s="25" t="n">
        <x:v>389.1691541671753</x:v>
      </x:c>
    </x:row>
    <x:row r="68" ht="19" customHeight="1">
      <x:c r="A68" s="25" t="str">
        <x:v>AMT_REQ_CREDIT_BUREAU_HOUR</x:v>
      </x:c>
      <x:c r="B68" s="25" t="n">
        <x:v>0.0014894527504910598</x:v>
      </x:c>
      <x:c r="C68" s="25" t="n">
        <x:v>0.1524404922782761</x:v>
      </x:c>
      <x:c r="D68" s="25" t="n">
        <x:v>95.67823123931885</x:v>
      </x:c>
    </x:row>
    <x:row r="69" ht="19" customHeight="1">
      <x:c r="A69" s="25" t="str">
        <x:v>LIVE_REGION_NOT_WORK_REGION</x:v>
      </x:c>
      <x:c r="B69" s="25" t="n">
        <x:v>0.0006302772783598862</x:v>
      </x:c>
      <x:c r="C69" s="25" t="n">
        <x:v>-0.25418479271957983</x:v>
      </x:c>
      <x:c r="D69" s="25" t="n">
        <x:v>50.03903007507324</x:v>
      </x:c>
    </x:row>
    <x:row r="70" ht="19" customHeight="1">
      <x:c r="A70" s="25" t="str">
        <x:v>FLAG_CONT_MOBILE</x:v>
      </x:c>
      <x:c r="B70" s="25" t="n">
        <x:v>0.0006292902235000877</x:v>
      </x:c>
      <x:c r="C70" s="25" t="n">
        <x:v>-0.06320338948248633</x:v>
      </x:c>
      <x:c r="D70" s="25" t="n">
        <x:v>70.86081027984619</x:v>
      </x:c>
    </x:row>
    <x:row r="71" ht="19" customHeight="1">
      <x:c r="A71" s="25" t="str">
        <x:v>REG_REGION_NOT_LIVE_REGION</x:v>
      </x:c>
      <x:c r="B71" s="25" t="n">
        <x:v>0.0006130490267007308</x:v>
      </x:c>
      <x:c r="C71" s="25" t="n">
        <x:v>-0.20349944725052319</x:v>
      </x:c>
      <x:c r="D71" s="25" t="n">
        <x:v>31.051939725875854</x:v>
      </x:c>
    </x:row>
    <x:row r="72" ht="19" customHeight="1">
      <x:c r="A72" s="25" t="str">
        <x:v>FLOORSMAX_AVG__MISSING</x:v>
      </x:c>
      <x:c r="B72" s="25" t="n">
        <x:v>0.00045255584638019677</x:v>
      </x:c>
      <x:c r="C72" s="25" t="n">
        <x:v>0.8320154678190637</x:v>
      </x:c>
      <x:c r="D72" s="25" t="n">
        <x:v>20.519929885864258</x:v>
      </x:c>
    </x:row>
    <x:row r="73" ht="19" customHeight="1">
      <x:c r="A73" s="25" t="str">
        <x:v>REG_CITY_NOT_WORK_CITY</x:v>
      </x:c>
      <x:c r="B73" s="25" t="n">
        <x:v>0.00043220761945474823</x:v>
      </x:c>
      <x:c r="C73" s="25" t="n">
        <x:v>0.11587212583433047</x:v>
      </x:c>
      <x:c r="D73" s="25" t="n">
        <x:v>72.05435085296631</x:v>
      </x:c>
    </x:row>
    <x:row r="74" ht="19" customHeight="1">
      <x:c r="A74" s="25" t="str">
        <x:v>FLAG_DOCUMENT_6</x:v>
      </x:c>
      <x:c r="B74" s="25" t="n">
        <x:v>0.0004171779606808762</x:v>
      </x:c>
      <x:c r="C74" s="25" t="n">
        <x:v>0.4676426638499673</x:v>
      </x:c>
      <x:c r="D74" s="25" t="n">
        <x:v>17.52252960205078</x:v>
      </x:c>
    </x:row>
    <x:row r="75" ht="19" customHeight="1">
      <x:c r="A75" s="25" t="str">
        <x:v>FLAG_DOCUMENT_5</x:v>
      </x:c>
      <x:c r="B75" s="25" t="n">
        <x:v>0.0003568171063180569</x:v>
      </x:c>
      <x:c r="C75" s="25" t="n">
        <x:v>0.24249101751977997</x:v>
      </x:c>
      <x:c r="D75" s="25" t="n">
        <x:v>31.79900026321411</x:v>
      </x:c>
    </x:row>
    <x:row r="76" ht="19" customHeight="1">
      <x:c r="A76" s="25" t="str">
        <x:v>FLAG_DOCUMENT_13</x:v>
      </x:c>
      <x:c r="B76" s="25" t="n">
        <x:v>0.00029475729773411946</x:v>
      </x:c>
      <x:c r="C76" s="25" t="n">
        <x:v>-0.08932341238424357</x:v>
      </x:c>
      <x:c r="D76" s="25" t="n">
        <x:v>18.71723985671997</x:v>
      </x:c>
    </x:row>
    <x:row r="77" ht="19" customHeight="1">
      <x:c r="A77" s="25" t="str">
        <x:v>LIVE_CITY_NOT_WORK_CITY</x:v>
      </x:c>
      <x:c r="B77" s="25" t="n">
        <x:v>0.0002199942792123963</x:v>
      </x:c>
      <x:c r="C77" s="25" t="n">
        <x:v>0.01750943522911334</x:v>
      </x:c>
      <x:c r="D77" s="25" t="n">
        <x:v>56.25302028656006</x:v>
      </x:c>
    </x:row>
    <x:row r="78" ht="19" customHeight="1">
      <x:c r="A78" s="25" t="str">
        <x:v>REG_REGION_NOT_WORK_REGION</x:v>
      </x:c>
      <x:c r="B78" s="25" t="n">
        <x:v>0.00020900260311622234</x:v>
      </x:c>
      <x:c r="C78" s="25" t="n">
        <x:v>0.35008367008792457</x:v>
      </x:c>
      <x:c r="D78" s="25" t="n">
        <x:v>29.43425941467285</x:v>
      </x:c>
    </x:row>
    <x:row r="79" ht="19" customHeight="1">
      <x:c r="A79" s="25" t="str">
        <x:v>EXT2_RISK_X_TENURE__MISSING</x:v>
      </x:c>
      <x:c r="B79" s="25" t="n">
        <x:v>0.00018455531400401947</x:v>
      </x:c>
      <x:c r="C79" s="25" t="n">
        <x:v>0.6559608870974125</x:v>
      </x:c>
      <x:c r="D79" s="25" t="n">
        <x:v>15.32040023803711</x:v>
      </x:c>
    </x:row>
    <x:row r="80" ht="19" customHeight="1">
      <x:c r="A80" s="25" t="str">
        <x:v>FLAG_EMAIL</x:v>
      </x:c>
      <x:c r="B80" s="25" t="n">
        <x:v>0.00017031269153698343</x:v>
      </x:c>
      <x:c r="C80" s="25" t="n">
        <x:v>-0.40059249304009775</x:v>
      </x:c>
      <x:c r="D80" s="25" t="n">
        <x:v>11.56190013885498</x:v>
      </x:c>
    </x:row>
    <x:row r="81" ht="19" customHeight="1">
      <x:c r="A81" s="25" t="str">
        <x:v>FLAG_DOCUMENT_16</x:v>
      </x:c>
      <x:c r="B81" s="25" t="n">
        <x:v>0.00016571783262578124</x:v>
      </x:c>
      <x:c r="C81" s="25" t="n">
        <x:v>-0.21078498587139632</x:v>
      </x:c>
      <x:c r="D81" s="25" t="n">
        <x:v>6.850180149078369</x:v>
      </x:c>
    </x:row>
    <x:row r="82" ht="19" customHeight="1">
      <x:c r="A82" s="25" t="str">
        <x:v>AMT_REQ_CREDIT_BUREAU_HOUR__MISSING</x:v>
      </x:c>
      <x:c r="B82" s="25" t="n">
        <x:v>0.00013903431391584147</x:v>
      </x:c>
      <x:c r="C82" s="25" t="n">
        <x:v>0.6079969505516982</x:v>
      </x:c>
      <x:c r="D82" s="25" t="n">
        <x:v>15.283900260925293</x:v>
      </x:c>
    </x:row>
    <x:row r="83" ht="19" customHeight="1">
      <x:c r="A83" s="25" t="str">
        <x:v>YEARS_BUILD_AVG__MISSING</x:v>
      </x:c>
      <x:c r="B83" s="25" t="n">
        <x:v>0.0001339797872091621</x:v>
      </x:c>
      <x:c r="C83" s="25" t="n">
        <x:v>0.7198575102206418</x:v>
      </x:c>
      <x:c r="D83" s="25" t="n">
        <x:v>10.48613953590393</x:v>
      </x:c>
    </x:row>
    <x:row r="84" ht="19" customHeight="1">
      <x:c r="A84" s="25" t="str">
        <x:v>FLAG_DOCUMENT_14</x:v>
      </x:c>
      <x:c r="B84" s="25" t="n">
        <x:v>0.00008500720803856071</x:v>
      </x:c>
      <x:c r="C84" s="25" t="n">
        <x:v>-0.07738220776439182</x:v>
      </x:c>
      <x:c r="D84" s="25" t="n">
        <x:v>3.4358699321746826</x:v>
      </x:c>
    </x:row>
    <x:row r="85" ht="19" customHeight="1">
      <x:c r="A85" s="25" t="str">
        <x:v>FLAG_DOCUMENT_18</x:v>
      </x:c>
      <x:c r="B85" s="25" t="n">
        <x:v>0.00008239535903367875</x:v>
      </x:c>
      <x:c r="C85" s="25" t="n">
        <x:v>0.24995489924287903</x:v>
      </x:c>
      <x:c r="D85" s="25" t="n">
        <x:v>9.167409896850586</x:v>
      </x:c>
    </x:row>
    <x:row r="86" ht="19" customHeight="1">
      <x:c r="A86" s="25" t="str">
        <x:v>ELEVATORS_AVG__MISSING</x:v>
      </x:c>
      <x:c r="B86" s="25" t="n">
        <x:v>0.000071579458239928</x:v>
      </x:c>
      <x:c r="C86" s="25" t="n">
        <x:v>0.8881260470848894</x:v>
      </x:c>
      <x:c r="D86" s="25" t="n">
        <x:v>14.93220043182373</x:v>
      </x:c>
    </x:row>
    <x:row r="87" ht="19" customHeight="1">
      <x:c r="A87" s="25" t="str">
        <x:v>FLAG_DOCUMENT_11</x:v>
      </x:c>
      <x:c r="B87" s="25" t="n">
        <x:v>0.00006816649169327507</x:v>
      </x:c>
      <x:c r="C87" s="25" t="n">
        <x:v>-0.16066724240219257</x:v>
      </x:c>
      <x:c r="D87" s="25" t="n">
        <x:v>5.957200050354004</x:v>
      </x:c>
    </x:row>
    <x:row r="88" ht="19" customHeight="1">
      <x:c r="A88" s="25" t="str">
        <x:v>OWN_CAR_AGE__MISSING</x:v>
      </x:c>
      <x:c r="B88" s="25" t="n">
        <x:v>0.00006471879003323137</x:v>
      </x:c>
      <x:c r="C88" s="25" t="n">
        <x:v>0.8245292342949162</x:v>
      </x:c>
      <x:c r="D88" s="25" t="n">
        <x:v>14.301899909973145</x:v>
      </x:c>
    </x:row>
    <x:row r="89" ht="19" customHeight="1">
      <x:c r="A89" s="25" t="str">
        <x:v>YEARS_BEGINEXPLUATATION_AVG__MISSING</x:v>
      </x:c>
      <x:c r="B89" s="25" t="n">
        <x:v>0.00006374742807099063</x:v>
      </x:c>
      <x:c r="C89" s="25" t="n">
        <x:v>0.13267358954542308</x:v>
      </x:c>
      <x:c r="D89" s="25" t="n">
        <x:v>13.25733995437622</x:v>
      </x:c>
    </x:row>
    <x:row r="90" ht="19" customHeight="1">
      <x:c r="A90" s="25" t="str">
        <x:v>NONLIVINGAREA_AVG__MISSING</x:v>
      </x:c>
      <x:c r="B90" s="25" t="n">
        <x:v>0.00005257108893215373</x:v>
      </x:c>
      <x:c r="C90" s="25" t="n">
        <x:v>0.8664951010849273</x:v>
      </x:c>
      <x:c r="D90" s="25" t="n">
        <x:v>7.646430015563965</x:v>
      </x:c>
    </x:row>
    <x:row r="91" ht="19" customHeight="1">
      <x:c r="A91" s="25" t="str">
        <x:v>LIVINGAPARTMENTS_AVG__MISSING</x:v>
      </x:c>
      <x:c r="B91" s="25" t="n">
        <x:v>0.00005227685867331078</x:v>
      </x:c>
      <x:c r="C91" s="25" t="n">
        <x:v>-0.8198635725549077</x:v>
      </x:c>
      <x:c r="D91" s="25" t="n">
        <x:v>7.3120598793029785</x:v>
      </x:c>
    </x:row>
    <x:row r="92" ht="19" customHeight="1">
      <x:c r="A92" s="25" t="str">
        <x:v>LANDAREA_AVG__MISSING</x:v>
      </x:c>
      <x:c r="B92" s="25" t="n">
        <x:v>0.00004567528173864735</x:v>
      </x:c>
      <x:c r="C92" s="25" t="n">
        <x:v>0.8689028958664156</x:v>
      </x:c>
      <x:c r="D92" s="25" t="n">
        <x:v>5.736299991607666</x:v>
      </x:c>
    </x:row>
    <x:row r="93" ht="19" customHeight="1">
      <x:c r="A93" s="25" t="str">
        <x:v>APARTMENTS_AVG__MISSING</x:v>
      </x:c>
      <x:c r="B93" s="25" t="n">
        <x:v>0</x:v>
      </x:c>
      <x:c r="C93" s="25"/>
      <x:c r="D93" s="25" t="n">
        <x:v>0</x:v>
      </x:c>
    </x:row>
    <x:row r="94" ht="19" customHeight="1">
      <x:c r="A94" s="25" t="str">
        <x:v>FLAG_MOBIL</x:v>
      </x:c>
      <x:c r="B94" s="25" t="n">
        <x:v>0</x:v>
      </x:c>
      <x:c r="C94" s="25"/>
      <x:c r="D94" s="25" t="n">
        <x:v>0</x:v>
      </x:c>
    </x:row>
    <x:row r="95" ht="19" customHeight="1">
      <x:c r="A95" s="25" t="str">
        <x:v>FLAG_EMP_PHONE</x:v>
      </x:c>
      <x:c r="B95" s="25" t="n">
        <x:v>0</x:v>
      </x:c>
      <x:c r="C95" s="25"/>
      <x:c r="D95" s="25" t="n">
        <x:v>0</x:v>
      </x:c>
    </x:row>
    <x:row r="96" ht="19" customHeight="1">
      <x:c r="A96" s="25" t="str">
        <x:v>COMMONAREA_AVG__MISSING</x:v>
      </x:c>
      <x:c r="B96" s="25" t="n">
        <x:v>0</x:v>
      </x:c>
      <x:c r="C96" s="25"/>
      <x:c r="D96" s="25" t="n">
        <x:v>0</x:v>
      </x:c>
    </x:row>
    <x:row r="97" ht="19" customHeight="1">
      <x:c r="A97" s="25" t="str">
        <x:v>FLOORSMIN_AVG__MISSING</x:v>
      </x:c>
      <x:c r="B97" s="25" t="n">
        <x:v>0</x:v>
      </x:c>
      <x:c r="C97" s="25"/>
      <x:c r="D97" s="25" t="n">
        <x:v>0</x:v>
      </x:c>
    </x:row>
    <x:row r="98" ht="19" customHeight="1">
      <x:c r="A98" s="25" t="str">
        <x:v>ENTRANCES_AVG__MISSING</x:v>
      </x:c>
      <x:c r="B98" s="25" t="n">
        <x:v>0</x:v>
      </x:c>
      <x:c r="C98" s="25"/>
      <x:c r="D98" s="25" t="n">
        <x:v>0</x:v>
      </x:c>
    </x:row>
    <x:row r="99" ht="19" customHeight="1">
      <x:c r="A99" s="25" t="str">
        <x:v>BASEMENTAREA_AVG__MISSING</x:v>
      </x:c>
      <x:c r="B99" s="25" t="n">
        <x:v>0</x:v>
      </x:c>
      <x:c r="C99" s="25"/>
      <x:c r="D99" s="25" t="n">
        <x:v>0</x:v>
      </x:c>
    </x:row>
    <x:row r="100" ht="19" customHeight="1">
      <x:c r="A100" s="25" t="str">
        <x:v>FLAG_DOCUMENT_2</x:v>
      </x:c>
      <x:c r="B100" s="25" t="n">
        <x:v>0</x:v>
      </x:c>
      <x:c r="C100" s="25"/>
      <x:c r="D100" s="25" t="n">
        <x:v>0</x:v>
      </x:c>
    </x:row>
    <x:row r="101" ht="19" customHeight="1">
      <x:c r="A101" s="25" t="str">
        <x:v>NONLIVINGAPARTMENTS_AVG__MISSING</x:v>
      </x:c>
      <x:c r="B101" s="25" t="n">
        <x:v>0</x:v>
      </x:c>
      <x:c r="C101" s="25"/>
      <x:c r="D101" s="25" t="n">
        <x:v>0</x:v>
      </x:c>
    </x:row>
    <x:row r="102" ht="19" customHeight="1">
      <x:c r="A102" s="25" t="str">
        <x:v>LIVINGAREA_AVG__MISSING</x:v>
      </x:c>
      <x:c r="B102" s="25" t="n">
        <x:v>0</x:v>
      </x:c>
      <x:c r="C102" s="25"/>
      <x:c r="D102" s="25" t="n">
        <x:v>0</x:v>
      </x:c>
    </x:row>
    <x:row r="103" ht="19" customHeight="1">
      <x:c r="A103" s="25" t="str">
        <x:v>FLAG_DOCUMENT_9</x:v>
      </x:c>
      <x:c r="B103" s="25" t="n">
        <x:v>0</x:v>
      </x:c>
      <x:c r="C103" s="25"/>
      <x:c r="D103" s="25" t="n">
        <x:v>0</x:v>
      </x:c>
    </x:row>
    <x:row r="104" ht="19" customHeight="1">
      <x:c r="A104" s="25" t="str">
        <x:v>FLAG_DOCUMENT_10</x:v>
      </x:c>
      <x:c r="B104" s="25" t="n">
        <x:v>0</x:v>
      </x:c>
      <x:c r="C104" s="25"/>
      <x:c r="D104" s="25" t="n">
        <x:v>0</x:v>
      </x:c>
    </x:row>
    <x:row r="105" ht="19" customHeight="1">
      <x:c r="A105" s="25" t="str">
        <x:v>FLAG_DOCUMENT_19</x:v>
      </x:c>
      <x:c r="B105" s="25" t="n">
        <x:v>0</x:v>
      </x:c>
      <x:c r="C105" s="25"/>
      <x:c r="D105" s="25" t="n">
        <x:v>0</x:v>
      </x:c>
    </x:row>
    <x:row r="106" ht="19" customHeight="1">
      <x:c r="A106" s="25" t="str">
        <x:v>FLAG_DOCUMENT_17</x:v>
      </x:c>
      <x:c r="B106" s="25" t="n">
        <x:v>0</x:v>
      </x:c>
      <x:c r="C106" s="25"/>
      <x:c r="D106" s="25" t="n">
        <x:v>0</x:v>
      </x:c>
    </x:row>
    <x:row r="107" ht="19" customHeight="1">
      <x:c r="A107" s="25" t="str">
        <x:v>FLAG_DOCUMENT_12</x:v>
      </x:c>
      <x:c r="B107" s="25" t="n">
        <x:v>0</x:v>
      </x:c>
      <x:c r="C107" s="25"/>
      <x:c r="D107" s="25" t="n">
        <x:v>0</x:v>
      </x:c>
    </x:row>
    <x:row r="108" ht="19" customHeight="1">
      <x:c r="A108" s="25" t="str">
        <x:v>FLAG_DOCUMENT_15</x:v>
      </x:c>
      <x:c r="B108" s="25" t="n">
        <x:v>0</x:v>
      </x:c>
      <x:c r="C108" s="25"/>
      <x:c r="D108" s="25" t="n">
        <x:v>0</x:v>
      </x:c>
    </x:row>
    <x:row r="109" ht="19" customHeight="1">
      <x:c r="A109" s="25" t="str">
        <x:v>FLAG_DOCUMENT_7</x:v>
      </x:c>
      <x:c r="B109" s="25" t="n">
        <x:v>0</x:v>
      </x:c>
      <x:c r="C109" s="25"/>
      <x:c r="D109" s="25" t="n">
        <x:v>0</x:v>
      </x:c>
    </x:row>
    <x:row r="110" ht="19" customHeight="1">
      <x:c r="A110" s="25" t="str">
        <x:v>FLAG_DOCUMENT_4</x:v>
      </x:c>
      <x:c r="B110" s="25" t="n">
        <x:v>0</x:v>
      </x:c>
      <x:c r="C110" s="25"/>
      <x:c r="D110" s="25" t="n">
        <x:v>0</x:v>
      </x:c>
    </x:row>
    <x:row r="111" ht="19" customHeight="1">
      <x:c r="A111" s="25" t="str">
        <x:v>EMPLOYMENT_YEARS__MISSING</x:v>
      </x:c>
      <x:c r="B111" s="25" t="n">
        <x:v>0</x:v>
      </x:c>
      <x:c r="C111" s="25"/>
      <x:c r="D111" s="25" t="n">
        <x:v>0</x:v>
      </x:c>
    </x:row>
    <x:row r="112" ht="19" customHeight="1">
      <x:c r="A112" s="25" t="str">
        <x:v>AMT_REQ_CREDIT_BUREAU_WEEK__MISSING</x:v>
      </x:c>
      <x:c r="B112" s="25" t="n">
        <x:v>0</x:v>
      </x:c>
      <x:c r="C112" s="25"/>
      <x:c r="D112" s="25" t="n">
        <x:v>0</x:v>
      </x:c>
    </x:row>
    <x:row r="113" ht="19" customHeight="1">
      <x:c r="A113" s="25" t="str">
        <x:v>FLAG_DOCUMENT_20</x:v>
      </x:c>
      <x:c r="B113" s="25" t="n">
        <x:v>0</x:v>
      </x:c>
      <x:c r="C113" s="25"/>
      <x:c r="D113" s="25" t="n">
        <x:v>0</x:v>
      </x:c>
    </x:row>
    <x:row r="114" ht="19" customHeight="1">
      <x:c r="A114" s="25" t="str">
        <x:v>EMPLOYED_SENTINEL</x:v>
      </x:c>
      <x:c r="B114" s="25" t="n">
        <x:v>0</x:v>
      </x:c>
      <x:c r="C114" s="25"/>
      <x:c r="D114" s="25" t="n">
        <x:v>0</x:v>
      </x:c>
    </x:row>
    <x:row r="115" ht="19" customHeight="1">
      <x:c r="A115" s="25" t="str">
        <x:v>AMT_REQ_CREDIT_BUREAU_YEAR__MISSING</x:v>
      </x:c>
      <x:c r="B115" s="25" t="n">
        <x:v>0</x:v>
      </x:c>
      <x:c r="C115" s="25"/>
      <x:c r="D115" s="25" t="n">
        <x:v>0</x:v>
      </x:c>
    </x:row>
    <x:row r="116" ht="19" customHeight="1">
      <x:c r="A116" s="25" t="str">
        <x:v>AMT_REQ_CREDIT_BUREAU_QRT__MISSING</x:v>
      </x:c>
      <x:c r="B116" s="25" t="n">
        <x:v>0</x:v>
      </x:c>
      <x:c r="C116" s="25"/>
      <x:c r="D116" s="25" t="n">
        <x:v>0</x:v>
      </x:c>
    </x:row>
    <x:row r="117" ht="19" customHeight="1">
      <x:c r="A117" s="25" t="str">
        <x:v>AMT_REQ_CREDIT_BUREAU_MON__MISSING</x:v>
      </x:c>
      <x:c r="B117" s="25" t="n">
        <x:v>0</x:v>
      </x:c>
      <x:c r="C117" s="25"/>
      <x:c r="D117" s="25" t="n">
        <x:v>0</x:v>
      </x:c>
    </x:row>
    <x:row r="118" ht="19" customHeight="1">
      <x:c r="A118" s="25" t="str">
        <x:v>FLAG_DOCUMENT_21</x:v>
      </x:c>
      <x:c r="B118" s="25" t="n">
        <x:v>0</x:v>
      </x:c>
      <x:c r="C118" s="25"/>
      <x:c r="D118" s="25" t="n">
        <x:v>0</x:v>
      </x:c>
    </x:row>
    <x:row r="119" ht="19" customHeight="1">
      <x:c r="A119" s="25" t="str">
        <x:v>AMT_REQ_CREDIT_BUREAU_DAY__MISSING</x:v>
      </x:c>
      <x:c r="B119" s="25" t="n">
        <x:v>0</x:v>
      </x:c>
      <x:c r="C119" s="25"/>
      <x:c r="D119" s="25" t="n">
        <x:v>0</x:v>
      </x:c>
    </x:row>
    <x:row r="120" ht="19" customHeight="1">
      <x:c r="A120" s="25" t="str">
        <x:v>CREDIT_INCOME_PER_TENURE__MISSING</x:v>
      </x:c>
      <x:c r="B120" s="25" t="n">
        <x:v>0</x:v>
      </x:c>
      <x:c r="C120" s="25"/>
      <x:c r="D120" s="25" t="n">
        <x:v>0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2bf8c04288b49f0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7" customHeight="1">
      <x:c r="A1" s="12" t="str">
        <x:v>局部案例 | 6个概率分位样本</x:v>
      </x:c>
      <x:c r="B1" s="12"/>
      <x:c r="C1" s="12"/>
      <x:c r="D1" s="12"/>
      <x:c r="E1" s="12"/>
      <x:c r="F1" s="12"/>
      <x:c r="G1" s="12"/>
      <x:c r="H1" s="12"/>
      <x:c r="I1" s="12"/>
    </x:row>
    <x:row r="2" ht="32" customHeight="1">
      <x:c r="A2" s="15" t="str">
        <x:v>来源：outputs/phase3/shap_local_cases.csv；按概率选取，不按预测正确与否筛选</x:v>
      </x:c>
      <x:c r="B2" s="15"/>
      <x:c r="C2" s="15"/>
      <x:c r="D2" s="15"/>
      <x:c r="E2" s="15"/>
      <x:c r="F2" s="15"/>
      <x:c r="G2" s="15"/>
      <x:c r="H2" s="15"/>
      <x:c r="I2" s="15"/>
    </x:row>
    <x:row r="4" ht="42" customHeight="1">
      <x:c r="A4" s="20" t="str">
        <x:v>case</x:v>
      </x:c>
      <x:c r="B4" s="20" t="str">
        <x:v>score_quantile</x:v>
      </x:c>
      <x:c r="C4" s="20" t="str">
        <x:v>predicted_probability</x:v>
      </x:c>
      <x:c r="D4" s="20" t="str">
        <x:v>target</x:v>
      </x:c>
      <x:c r="E4" s="20" t="str">
        <x:v>base_log_odds</x:v>
      </x:c>
      <x:c r="F4" s="20" t="str">
        <x:v>sum_contributions</x:v>
      </x:c>
      <x:c r="G4" s="20" t="str">
        <x:v>reconstructed_probability</x:v>
      </x:c>
      <x:c r="H4" s="20" t="str">
        <x:v>top_drivers</x:v>
      </x:c>
      <x:c r="I4" s="20" t="str">
        <x:v>selection</x:v>
      </x:c>
    </x:row>
    <x:row r="5" ht="19" customHeight="1">
      <x:c r="A5" s="25" t="str">
        <x:v>L1</x:v>
      </x:c>
      <x:c r="B5" s="25" t="n">
        <x:v>0.01</x:v>
      </x:c>
      <x:c r="C5" s="25" t="n">
        <x:v>0.01074687847185708</x:v>
      </x:c>
      <x:c r="D5" s="25" t="n">
        <x:v>0</x:v>
      </x:c>
      <x:c r="E5" s="25" t="n">
        <x:v>-2.7436126960655813</x:v>
      </x:c>
      <x:c r="F5" s="25" t="n">
        <x:v>-1.7787222019483926</x:v>
      </x:c>
      <x:c r="G5" s="25" t="n">
        <x:v>0.01074687847185708</x:v>
      </x:c>
      <x:c r="H5" s="25" t="str">
        <x:v>EXT_SOURCE_2; ANNUITY_CREDIT_RATIO; EMPLOYMENT_YEARS</x:v>
      </x:c>
      <x:c r="I5" s="25" t="str">
        <x:v>probability rank only; outcomes not used for selection</x:v>
      </x:c>
    </x:row>
    <x:row r="6" ht="19" customHeight="1">
      <x:c r="A6" s="25" t="str">
        <x:v>L2</x:v>
      </x:c>
      <x:c r="B6" s="25" t="n">
        <x:v>0.05</x:v>
      </x:c>
      <x:c r="C6" s="25" t="n">
        <x:v>0.016826374383090224</x:v>
      </x:c>
      <x:c r="D6" s="25" t="n">
        <x:v>0</x:v>
      </x:c>
      <x:c r="E6" s="25" t="n">
        <x:v>-2.7436126960655813</x:v>
      </x:c>
      <x:c r="F6" s="25" t="n">
        <x:v>-1.3242254776287226</x:v>
      </x:c>
      <x:c r="G6" s="25" t="n">
        <x:v>0.016826374383090283</x:v>
      </x:c>
      <x:c r="H6" s="25" t="str">
        <x:v>OWN_CAR_AGE; EMPLOYMENT_YEARS; ORGANIZATION_TYPE</x:v>
      </x:c>
      <x:c r="I6" s="25" t="str">
        <x:v>probability rank only; outcomes not used for selection</x:v>
      </x:c>
    </x:row>
    <x:row r="7" ht="19" customHeight="1">
      <x:c r="A7" s="25" t="str">
        <x:v>L3</x:v>
      </x:c>
      <x:c r="B7" s="25" t="n">
        <x:v>0.09</x:v>
      </x:c>
      <x:c r="C7" s="25" t="n">
        <x:v>0.020937430701544944</x:v>
      </x:c>
      <x:c r="D7" s="25" t="n">
        <x:v>0</x:v>
      </x:c>
      <x:c r="E7" s="25" t="n">
        <x:v>-2.7436126960655813</x:v>
      </x:c>
      <x:c r="F7" s="25" t="n">
        <x:v>-1.1014443560584963</x:v>
      </x:c>
      <x:c r="G7" s="25" t="n">
        <x:v>0.02093743070154496</x:v>
      </x:c>
      <x:c r="H7" s="25" t="str">
        <x:v>EXT_SOURCE_2; EXT2_RISK_X_ANNUITY_INCOME; CREDIT_GOODS_RATIO</x:v>
      </x:c>
      <x:c r="I7" s="25" t="str">
        <x:v>probability rank only; outcomes not used for selection</x:v>
      </x:c>
    </x:row>
    <x:row r="8" ht="19" customHeight="1">
      <x:c r="A8" s="25" t="str">
        <x:v>H1</x:v>
      </x:c>
      <x:c r="B8" s="25" t="n">
        <x:v>0.91</x:v>
      </x:c>
      <x:c r="C8" s="25" t="n">
        <x:v>0.18026328302340794</x:v>
      </x:c>
      <x:c r="D8" s="25" t="n">
        <x:v>0</x:v>
      </x:c>
      <x:c r="E8" s="25" t="n">
        <x:v>-2.7436126960655813</x:v>
      </x:c>
      <x:c r="F8" s="25" t="n">
        <x:v>1.2290479498954083</x:v>
      </x:c>
      <x:c r="G8" s="25" t="n">
        <x:v>0.18026328302340852</x:v>
      </x:c>
      <x:c r="H8" s="25" t="str">
        <x:v>EXT_SOURCE_2; OCCUPATION_TYPE; EMPLOYMENT_YEARS</x:v>
      </x:c>
      <x:c r="I8" s="25" t="str">
        <x:v>probability rank only; outcomes not used for selection</x:v>
      </x:c>
    </x:row>
    <x:row r="9" ht="19" customHeight="1">
      <x:c r="A9" s="25" t="str">
        <x:v>H2</x:v>
      </x:c>
      <x:c r="B9" s="25" t="n">
        <x:v>0.95</x:v>
      </x:c>
      <x:c r="C9" s="25" t="n">
        <x:v>0.23170854457966703</x:v>
      </x:c>
      <x:c r="D9" s="25" t="n">
        <x:v>1</x:v>
      </x:c>
      <x:c r="E9" s="25" t="n">
        <x:v>-2.7436126960655813</x:v>
      </x:c>
      <x:c r="F9" s="25" t="n">
        <x:v>1.544923844194214</x:v>
      </x:c>
      <x:c r="G9" s="25" t="n">
        <x:v>0.23170854457966655</x:v>
      </x:c>
      <x:c r="H9" s="25" t="str">
        <x:v>EXT_SOURCE_2; ANNUITY_CREDIT_RATIO; EMPLOYMENT_YEARS</x:v>
      </x:c>
      <x:c r="I9" s="25" t="str">
        <x:v>probability rank only; outcomes not used for selection</x:v>
      </x:c>
    </x:row>
    <x:row r="10" ht="19" customHeight="1">
      <x:c r="A10" s="25" t="str">
        <x:v>H3</x:v>
      </x:c>
      <x:c r="B10" s="25" t="n">
        <x:v>0.99</x:v>
      </x:c>
      <x:c r="C10" s="25" t="n">
        <x:v>0.3744375656782409</x:v>
      </x:c>
      <x:c r="D10" s="25" t="n">
        <x:v>1</x:v>
      </x:c>
      <x:c r="E10" s="25" t="n">
        <x:v>-2.7436126960655813</x:v>
      </x:c>
      <x:c r="F10" s="25" t="n">
        <x:v>2.230386631326251</x:v>
      </x:c>
      <x:c r="G10" s="25" t="n">
        <x:v>0.37443756567824005</x:v>
      </x:c>
      <x:c r="H10" s="25" t="str">
        <x:v>EXT_SOURCE_2; ANNUITY_CREDIT_RATIO; REGISTRATION_YEARS</x:v>
      </x:c>
      <x:c r="I10" s="25" t="str">
        <x:v>probability rank only; outcomes not used for selection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a935ed2201346a6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7" customHeight="1">
      <x:c r="A1" s="12" t="str">
        <x:v>数据字典 | 用户原始主表</x:v>
      </x:c>
      <x:c r="B1" s="12"/>
      <x:c r="C1" s="12"/>
      <x:c r="D1" s="12"/>
      <x:c r="E1" s="12"/>
      <x:c r="F1" s="12"/>
      <x:c r="G1" s="12"/>
    </x:row>
    <x:row r="2" ht="32" customHeight="1">
      <x:c r="A2" s="15" t="str">
        <x:v>来源：outputs/phase1/field_dictionary.csv；原始字段业务说明与数据范围</x:v>
      </x:c>
      <x:c r="B2" s="15"/>
      <x:c r="C2" s="15"/>
      <x:c r="D2" s="15"/>
      <x:c r="E2" s="15"/>
      <x:c r="F2" s="15"/>
      <x:c r="G2" s="15"/>
    </x:row>
    <x:row r="4" ht="42" customHeight="1">
      <x:c r="A4" s="20" t="str">
        <x:v>feature</x:v>
      </x:c>
      <x:c r="B4" s="20" t="str">
        <x:v>dtype</x:v>
      </x:c>
      <x:c r="C4" s="20" t="str">
        <x:v>missing_count</x:v>
      </x:c>
      <x:c r="D4" s="20" t="str">
        <x:v>missing_rate</x:v>
      </x:c>
      <x:c r="E4" s="20" t="str">
        <x:v>n_unique</x:v>
      </x:c>
      <x:c r="F4" s="20" t="str">
        <x:v>missing_level</x:v>
      </x:c>
      <x:c r="G4" s="20" t="str">
        <x:v>Description</x:v>
      </x:c>
    </x:row>
    <x:row r="5" ht="19" customHeight="1">
      <x:c r="A5" s="25" t="str">
        <x:v>SK_ID_CURR</x:v>
      </x:c>
      <x:c r="B5" s="25" t="str">
        <x:v>int64</x:v>
      </x:c>
      <x:c r="C5" s="25" t="n">
        <x:v>0</x:v>
      </x:c>
      <x:c r="D5" s="30" t="n">
        <x:v>0</x:v>
      </x:c>
      <x:c r="E5" s="25" t="n">
        <x:v>307511</x:v>
      </x:c>
      <x:c r="F5" s="25" t="str">
        <x:v>low_le_10pct</x:v>
      </x:c>
      <x:c r="G5" s="25" t="str">
        <x:v>ID of loan in our sample</x:v>
      </x:c>
    </x:row>
    <x:row r="6" ht="19" customHeight="1">
      <x:c r="A6" s="25" t="str">
        <x:v>TARGET</x:v>
      </x:c>
      <x:c r="B6" s="25" t="str">
        <x:v>int64</x:v>
      </x:c>
      <x:c r="C6" s="25" t="n">
        <x:v>0</x:v>
      </x:c>
      <x:c r="D6" s="30" t="n">
        <x:v>0</x:v>
      </x:c>
      <x:c r="E6" s="25" t="n">
        <x:v>2</x:v>
      </x:c>
      <x:c r="F6" s="25" t="str">
        <x:v>low_le_10pct</x:v>
      </x:c>
      <x:c r="G6" s="25" t="str">
        <x:v>Target variable (1 - client with payment difficulties: he/she had late payment more than X days on at least one of the first Y installments of the loan in our sample, 0 - all other cases)</x:v>
      </x:c>
    </x:row>
    <x:row r="7" ht="19" customHeight="1">
      <x:c r="A7" s="25" t="str">
        <x:v>NAME_CONTRACT_TYPE</x:v>
      </x:c>
      <x:c r="B7" s="25" t="str">
        <x:v>object</x:v>
      </x:c>
      <x:c r="C7" s="25" t="n">
        <x:v>0</x:v>
      </x:c>
      <x:c r="D7" s="30" t="n">
        <x:v>0</x:v>
      </x:c>
      <x:c r="E7" s="25" t="n">
        <x:v>2</x:v>
      </x:c>
      <x:c r="F7" s="25" t="str">
        <x:v>low_le_10pct</x:v>
      </x:c>
      <x:c r="G7" s="25" t="str">
        <x:v>Identification if loan is cash or revolving</x:v>
      </x:c>
    </x:row>
    <x:row r="8" ht="19" customHeight="1">
      <x:c r="A8" s="25" t="str">
        <x:v>CODE_GENDER</x:v>
      </x:c>
      <x:c r="B8" s="25" t="str">
        <x:v>object</x:v>
      </x:c>
      <x:c r="C8" s="25" t="n">
        <x:v>0</x:v>
      </x:c>
      <x:c r="D8" s="30" t="n">
        <x:v>0</x:v>
      </x:c>
      <x:c r="E8" s="25" t="n">
        <x:v>3</x:v>
      </x:c>
      <x:c r="F8" s="25" t="str">
        <x:v>low_le_10pct</x:v>
      </x:c>
      <x:c r="G8" s="25" t="str">
        <x:v>Gender of the client</x:v>
      </x:c>
    </x:row>
    <x:row r="9" ht="19" customHeight="1">
      <x:c r="A9" s="25" t="str">
        <x:v>FLAG_OWN_CAR</x:v>
      </x:c>
      <x:c r="B9" s="25" t="str">
        <x:v>object</x:v>
      </x:c>
      <x:c r="C9" s="25" t="n">
        <x:v>0</x:v>
      </x:c>
      <x:c r="D9" s="30" t="n">
        <x:v>0</x:v>
      </x:c>
      <x:c r="E9" s="25" t="n">
        <x:v>2</x:v>
      </x:c>
      <x:c r="F9" s="25" t="str">
        <x:v>low_le_10pct</x:v>
      </x:c>
      <x:c r="G9" s="25" t="str">
        <x:v>Flag if the client owns a car</x:v>
      </x:c>
    </x:row>
    <x:row r="10" ht="19" customHeight="1">
      <x:c r="A10" s="25" t="str">
        <x:v>FLAG_OWN_REALTY</x:v>
      </x:c>
      <x:c r="B10" s="25" t="str">
        <x:v>object</x:v>
      </x:c>
      <x:c r="C10" s="25" t="n">
        <x:v>0</x:v>
      </x:c>
      <x:c r="D10" s="30" t="n">
        <x:v>0</x:v>
      </x:c>
      <x:c r="E10" s="25" t="n">
        <x:v>2</x:v>
      </x:c>
      <x:c r="F10" s="25" t="str">
        <x:v>low_le_10pct</x:v>
      </x:c>
      <x:c r="G10" s="25" t="str">
        <x:v>Flag if client owns a house or flat</x:v>
      </x:c>
    </x:row>
    <x:row r="11" ht="19" customHeight="1">
      <x:c r="A11" s="25" t="str">
        <x:v>CNT_CHILDREN</x:v>
      </x:c>
      <x:c r="B11" s="25" t="str">
        <x:v>int64</x:v>
      </x:c>
      <x:c r="C11" s="25" t="n">
        <x:v>0</x:v>
      </x:c>
      <x:c r="D11" s="30" t="n">
        <x:v>0</x:v>
      </x:c>
      <x:c r="E11" s="25" t="n">
        <x:v>15</x:v>
      </x:c>
      <x:c r="F11" s="25" t="str">
        <x:v>low_le_10pct</x:v>
      </x:c>
      <x:c r="G11" s="25" t="str">
        <x:v>Number of children the client has</x:v>
      </x:c>
    </x:row>
    <x:row r="12" ht="19" customHeight="1">
      <x:c r="A12" s="25" t="str">
        <x:v>AMT_INCOME_TOTAL</x:v>
      </x:c>
      <x:c r="B12" s="25" t="str">
        <x:v>float64</x:v>
      </x:c>
      <x:c r="C12" s="25" t="n">
        <x:v>0</x:v>
      </x:c>
      <x:c r="D12" s="30" t="n">
        <x:v>0</x:v>
      </x:c>
      <x:c r="E12" s="25" t="n">
        <x:v>2548</x:v>
      </x:c>
      <x:c r="F12" s="25" t="str">
        <x:v>low_le_10pct</x:v>
      </x:c>
      <x:c r="G12" s="25" t="str">
        <x:v>Income of the client</x:v>
      </x:c>
    </x:row>
    <x:row r="13" ht="19" customHeight="1">
      <x:c r="A13" s="25" t="str">
        <x:v>AMT_CREDIT</x:v>
      </x:c>
      <x:c r="B13" s="25" t="str">
        <x:v>float64</x:v>
      </x:c>
      <x:c r="C13" s="25" t="n">
        <x:v>0</x:v>
      </x:c>
      <x:c r="D13" s="30" t="n">
        <x:v>0</x:v>
      </x:c>
      <x:c r="E13" s="25" t="n">
        <x:v>5603</x:v>
      </x:c>
      <x:c r="F13" s="25" t="str">
        <x:v>low_le_10pct</x:v>
      </x:c>
      <x:c r="G13" s="25" t="str">
        <x:v>Credit amount of the loan</x:v>
      </x:c>
    </x:row>
    <x:row r="14" ht="19" customHeight="1">
      <x:c r="A14" s="25" t="str">
        <x:v>AMT_ANNUITY</x:v>
      </x:c>
      <x:c r="B14" s="25" t="str">
        <x:v>float64</x:v>
      </x:c>
      <x:c r="C14" s="25" t="n">
        <x:v>12</x:v>
      </x:c>
      <x:c r="D14" s="30" t="n">
        <x:v>0.000039022994299390916</x:v>
      </x:c>
      <x:c r="E14" s="25" t="n">
        <x:v>13672</x:v>
      </x:c>
      <x:c r="F14" s="25" t="str">
        <x:v>low_le_10pct</x:v>
      </x:c>
      <x:c r="G14" s="25" t="str">
        <x:v>Loan annuity</x:v>
      </x:c>
    </x:row>
    <x:row r="15" ht="19" customHeight="1">
      <x:c r="A15" s="25" t="str">
        <x:v>AMT_GOODS_PRICE</x:v>
      </x:c>
      <x:c r="B15" s="25" t="str">
        <x:v>float64</x:v>
      </x:c>
      <x:c r="C15" s="25" t="n">
        <x:v>278</x:v>
      </x:c>
      <x:c r="D15" s="30" t="n">
        <x:v>0.0009040327012692228</x:v>
      </x:c>
      <x:c r="E15" s="25" t="n">
        <x:v>1002</x:v>
      </x:c>
      <x:c r="F15" s="25" t="str">
        <x:v>low_le_10pct</x:v>
      </x:c>
      <x:c r="G15" s="25" t="str">
        <x:v>For consumer loans it is the price of the goods for which the loan is given</x:v>
      </x:c>
    </x:row>
    <x:row r="16" ht="19" customHeight="1">
      <x:c r="A16" s="25" t="str">
        <x:v>NAME_TYPE_SUITE</x:v>
      </x:c>
      <x:c r="B16" s="25" t="str">
        <x:v>object</x:v>
      </x:c>
      <x:c r="C16" s="25" t="n">
        <x:v>1292</x:v>
      </x:c>
      <x:c r="D16" s="30" t="n">
        <x:v>0.004201475719567756</x:v>
      </x:c>
      <x:c r="E16" s="25" t="n">
        <x:v>7</x:v>
      </x:c>
      <x:c r="F16" s="25" t="str">
        <x:v>low_le_10pct</x:v>
      </x:c>
      <x:c r="G16" s="25" t="str">
        <x:v>Who was accompanying client when he was applying for the loan</x:v>
      </x:c>
    </x:row>
    <x:row r="17" ht="19" customHeight="1">
      <x:c r="A17" s="25" t="str">
        <x:v>NAME_INCOME_TYPE</x:v>
      </x:c>
      <x:c r="B17" s="25" t="str">
        <x:v>object</x:v>
      </x:c>
      <x:c r="C17" s="25" t="n">
        <x:v>0</x:v>
      </x:c>
      <x:c r="D17" s="30" t="n">
        <x:v>0</x:v>
      </x:c>
      <x:c r="E17" s="25" t="n">
        <x:v>8</x:v>
      </x:c>
      <x:c r="F17" s="25" t="str">
        <x:v>low_le_10pct</x:v>
      </x:c>
      <x:c r="G17" s="25" t="str">
        <x:v>Clients income type (businessman, working, maternity leave,…)</x:v>
      </x:c>
    </x:row>
    <x:row r="18" ht="19" customHeight="1">
      <x:c r="A18" s="25" t="str">
        <x:v>NAME_EDUCATION_TYPE</x:v>
      </x:c>
      <x:c r="B18" s="25" t="str">
        <x:v>object</x:v>
      </x:c>
      <x:c r="C18" s="25" t="n">
        <x:v>0</x:v>
      </x:c>
      <x:c r="D18" s="30" t="n">
        <x:v>0</x:v>
      </x:c>
      <x:c r="E18" s="25" t="n">
        <x:v>5</x:v>
      </x:c>
      <x:c r="F18" s="25" t="str">
        <x:v>low_le_10pct</x:v>
      </x:c>
      <x:c r="G18" s="25" t="str">
        <x:v>Level of highest education the client achieved</x:v>
      </x:c>
    </x:row>
    <x:row r="19" ht="19" customHeight="1">
      <x:c r="A19" s="25" t="str">
        <x:v>NAME_FAMILY_STATUS</x:v>
      </x:c>
      <x:c r="B19" s="25" t="str">
        <x:v>object</x:v>
      </x:c>
      <x:c r="C19" s="25" t="n">
        <x:v>0</x:v>
      </x:c>
      <x:c r="D19" s="30" t="n">
        <x:v>0</x:v>
      </x:c>
      <x:c r="E19" s="25" t="n">
        <x:v>6</x:v>
      </x:c>
      <x:c r="F19" s="25" t="str">
        <x:v>low_le_10pct</x:v>
      </x:c>
      <x:c r="G19" s="25" t="str">
        <x:v>Family status of the client</x:v>
      </x:c>
    </x:row>
    <x:row r="20" ht="19" customHeight="1">
      <x:c r="A20" s="25" t="str">
        <x:v>NAME_HOUSING_TYPE</x:v>
      </x:c>
      <x:c r="B20" s="25" t="str">
        <x:v>object</x:v>
      </x:c>
      <x:c r="C20" s="25" t="n">
        <x:v>0</x:v>
      </x:c>
      <x:c r="D20" s="30" t="n">
        <x:v>0</x:v>
      </x:c>
      <x:c r="E20" s="25" t="n">
        <x:v>6</x:v>
      </x:c>
      <x:c r="F20" s="25" t="str">
        <x:v>low_le_10pct</x:v>
      </x:c>
      <x:c r="G20" s="25" t="str">
        <x:v>What is the housing situation of the client (renting, living with parents, ...)</x:v>
      </x:c>
    </x:row>
    <x:row r="21" ht="19" customHeight="1">
      <x:c r="A21" s="25" t="str">
        <x:v>REGION_POPULATION_RELATIVE</x:v>
      </x:c>
      <x:c r="B21" s="25" t="str">
        <x:v>float64</x:v>
      </x:c>
      <x:c r="C21" s="25" t="n">
        <x:v>0</x:v>
      </x:c>
      <x:c r="D21" s="30" t="n">
        <x:v>0</x:v>
      </x:c>
      <x:c r="E21" s="25" t="n">
        <x:v>81</x:v>
      </x:c>
      <x:c r="F21" s="25" t="str">
        <x:v>low_le_10pct</x:v>
      </x:c>
      <x:c r="G21" s="25" t="str">
        <x:v>Normalized population of region where client lives (higher number means the client lives in more populated region)</x:v>
      </x:c>
    </x:row>
    <x:row r="22" ht="19" customHeight="1">
      <x:c r="A22" s="25" t="str">
        <x:v>DAYS_BIRTH</x:v>
      </x:c>
      <x:c r="B22" s="25" t="str">
        <x:v>int64</x:v>
      </x:c>
      <x:c r="C22" s="25" t="n">
        <x:v>0</x:v>
      </x:c>
      <x:c r="D22" s="30" t="n">
        <x:v>0</x:v>
      </x:c>
      <x:c r="E22" s="25" t="n">
        <x:v>17460</x:v>
      </x:c>
      <x:c r="F22" s="25" t="str">
        <x:v>low_le_10pct</x:v>
      </x:c>
      <x:c r="G22" s="25" t="str">
        <x:v>Client's age in days at the time of application</x:v>
      </x:c>
    </x:row>
    <x:row r="23" ht="19" customHeight="1">
      <x:c r="A23" s="25" t="str">
        <x:v>DAYS_EMPLOYED</x:v>
      </x:c>
      <x:c r="B23" s="25" t="str">
        <x:v>int64</x:v>
      </x:c>
      <x:c r="C23" s="25" t="n">
        <x:v>0</x:v>
      </x:c>
      <x:c r="D23" s="30" t="n">
        <x:v>0</x:v>
      </x:c>
      <x:c r="E23" s="25" t="n">
        <x:v>12574</x:v>
      </x:c>
      <x:c r="F23" s="25" t="str">
        <x:v>low_le_10pct</x:v>
      </x:c>
      <x:c r="G23" s="25" t="str">
        <x:v>How many days before the application the person started current employment</x:v>
      </x:c>
    </x:row>
    <x:row r="24" ht="19" customHeight="1">
      <x:c r="A24" s="25" t="str">
        <x:v>DAYS_REGISTRATION</x:v>
      </x:c>
      <x:c r="B24" s="25" t="str">
        <x:v>float64</x:v>
      </x:c>
      <x:c r="C24" s="25" t="n">
        <x:v>0</x:v>
      </x:c>
      <x:c r="D24" s="30" t="n">
        <x:v>0</x:v>
      </x:c>
      <x:c r="E24" s="25" t="n">
        <x:v>15688</x:v>
      </x:c>
      <x:c r="F24" s="25" t="str">
        <x:v>low_le_10pct</x:v>
      </x:c>
      <x:c r="G24" s="25" t="str">
        <x:v>How many days before the application did client change his registration</x:v>
      </x:c>
    </x:row>
    <x:row r="25" ht="19" customHeight="1">
      <x:c r="A25" s="25" t="str">
        <x:v>DAYS_ID_PUBLISH</x:v>
      </x:c>
      <x:c r="B25" s="25" t="str">
        <x:v>int64</x:v>
      </x:c>
      <x:c r="C25" s="25" t="n">
        <x:v>0</x:v>
      </x:c>
      <x:c r="D25" s="30" t="n">
        <x:v>0</x:v>
      </x:c>
      <x:c r="E25" s="25" t="n">
        <x:v>6168</x:v>
      </x:c>
      <x:c r="F25" s="25" t="str">
        <x:v>low_le_10pct</x:v>
      </x:c>
      <x:c r="G25" s="25" t="str">
        <x:v>How many days before the application did client change the identity document with which he applied for the loan</x:v>
      </x:c>
    </x:row>
    <x:row r="26" ht="19" customHeight="1">
      <x:c r="A26" s="25" t="str">
        <x:v>OWN_CAR_AGE</x:v>
      </x:c>
      <x:c r="B26" s="25" t="str">
        <x:v>float64</x:v>
      </x:c>
      <x:c r="C26" s="25" t="n">
        <x:v>202929</x:v>
      </x:c>
      <x:c r="D26" s="30" t="n">
        <x:v>0.6599081008484249</x:v>
      </x:c>
      <x:c r="E26" s="25" t="n">
        <x:v>62</x:v>
      </x:c>
      <x:c r="F26" s="25" t="str">
        <x:v>high_gt_30pct</x:v>
      </x:c>
      <x:c r="G26" s="25" t="str">
        <x:v>Age of client's car</x:v>
      </x:c>
    </x:row>
    <x:row r="27" ht="19" customHeight="1">
      <x:c r="A27" s="25" t="str">
        <x:v>FLAG_MOBIL</x:v>
      </x:c>
      <x:c r="B27" s="25" t="str">
        <x:v>int64</x:v>
      </x:c>
      <x:c r="C27" s="25" t="n">
        <x:v>0</x:v>
      </x:c>
      <x:c r="D27" s="30" t="n">
        <x:v>0</x:v>
      </x:c>
      <x:c r="E27" s="25" t="n">
        <x:v>2</x:v>
      </x:c>
      <x:c r="F27" s="25" t="str">
        <x:v>low_le_10pct</x:v>
      </x:c>
      <x:c r="G27" s="25" t="str">
        <x:v>Did client provide mobile phone (1=YES, 0=NO)</x:v>
      </x:c>
    </x:row>
    <x:row r="28" ht="19" customHeight="1">
      <x:c r="A28" s="25" t="str">
        <x:v>FLAG_EMP_PHONE</x:v>
      </x:c>
      <x:c r="B28" s="25" t="str">
        <x:v>int64</x:v>
      </x:c>
      <x:c r="C28" s="25" t="n">
        <x:v>0</x:v>
      </x:c>
      <x:c r="D28" s="30" t="n">
        <x:v>0</x:v>
      </x:c>
      <x:c r="E28" s="25" t="n">
        <x:v>2</x:v>
      </x:c>
      <x:c r="F28" s="25" t="str">
        <x:v>low_le_10pct</x:v>
      </x:c>
      <x:c r="G28" s="25" t="str">
        <x:v>Did client provide work phone (1=YES, 0=NO)</x:v>
      </x:c>
    </x:row>
    <x:row r="29" ht="19" customHeight="1">
      <x:c r="A29" s="25" t="str">
        <x:v>FLAG_WORK_PHONE</x:v>
      </x:c>
      <x:c r="B29" s="25" t="str">
        <x:v>int64</x:v>
      </x:c>
      <x:c r="C29" s="25" t="n">
        <x:v>0</x:v>
      </x:c>
      <x:c r="D29" s="30" t="n">
        <x:v>0</x:v>
      </x:c>
      <x:c r="E29" s="25" t="n">
        <x:v>2</x:v>
      </x:c>
      <x:c r="F29" s="25" t="str">
        <x:v>low_le_10pct</x:v>
      </x:c>
      <x:c r="G29" s="25" t="str">
        <x:v>Did client provide home phone (1=YES, 0=NO)</x:v>
      </x:c>
    </x:row>
    <x:row r="30" ht="19" customHeight="1">
      <x:c r="A30" s="25" t="str">
        <x:v>FLAG_CONT_MOBILE</x:v>
      </x:c>
      <x:c r="B30" s="25" t="str">
        <x:v>int64</x:v>
      </x:c>
      <x:c r="C30" s="25" t="n">
        <x:v>0</x:v>
      </x:c>
      <x:c r="D30" s="30" t="n">
        <x:v>0</x:v>
      </x:c>
      <x:c r="E30" s="25" t="n">
        <x:v>2</x:v>
      </x:c>
      <x:c r="F30" s="25" t="str">
        <x:v>low_le_10pct</x:v>
      </x:c>
      <x:c r="G30" s="25" t="str">
        <x:v>Was mobile phone reachable (1=YES, 0=NO)</x:v>
      </x:c>
    </x:row>
    <x:row r="31" ht="19" customHeight="1">
      <x:c r="A31" s="25" t="str">
        <x:v>FLAG_PHONE</x:v>
      </x:c>
      <x:c r="B31" s="25" t="str">
        <x:v>int64</x:v>
      </x:c>
      <x:c r="C31" s="25" t="n">
        <x:v>0</x:v>
      </x:c>
      <x:c r="D31" s="30" t="n">
        <x:v>0</x:v>
      </x:c>
      <x:c r="E31" s="25" t="n">
        <x:v>2</x:v>
      </x:c>
      <x:c r="F31" s="25" t="str">
        <x:v>low_le_10pct</x:v>
      </x:c>
      <x:c r="G31" s="25" t="str">
        <x:v>Did client provide home phone (1=YES, 0=NO)</x:v>
      </x:c>
    </x:row>
    <x:row r="32" ht="19" customHeight="1">
      <x:c r="A32" s="25" t="str">
        <x:v>FLAG_EMAIL</x:v>
      </x:c>
      <x:c r="B32" s="25" t="str">
        <x:v>int64</x:v>
      </x:c>
      <x:c r="C32" s="25" t="n">
        <x:v>0</x:v>
      </x:c>
      <x:c r="D32" s="30" t="n">
        <x:v>0</x:v>
      </x:c>
      <x:c r="E32" s="25" t="n">
        <x:v>2</x:v>
      </x:c>
      <x:c r="F32" s="25" t="str">
        <x:v>low_le_10pct</x:v>
      </x:c>
      <x:c r="G32" s="25" t="str">
        <x:v>Did client provide email (1=YES, 0=NO)</x:v>
      </x:c>
    </x:row>
    <x:row r="33" ht="19" customHeight="1">
      <x:c r="A33" s="25" t="str">
        <x:v>OCCUPATION_TYPE</x:v>
      </x:c>
      <x:c r="B33" s="25" t="str">
        <x:v>object</x:v>
      </x:c>
      <x:c r="C33" s="25" t="n">
        <x:v>96391</x:v>
      </x:c>
      <x:c r="D33" s="30" t="n">
        <x:v>0.31345545362604915</x:v>
      </x:c>
      <x:c r="E33" s="25" t="n">
        <x:v>18</x:v>
      </x:c>
      <x:c r="F33" s="25" t="str">
        <x:v>high_gt_30pct</x:v>
      </x:c>
      <x:c r="G33" s="25" t="str">
        <x:v>What kind of occupation does the client have</x:v>
      </x:c>
    </x:row>
    <x:row r="34" ht="19" customHeight="1">
      <x:c r="A34" s="25" t="str">
        <x:v>CNT_FAM_MEMBERS</x:v>
      </x:c>
      <x:c r="B34" s="25" t="str">
        <x:v>float64</x:v>
      </x:c>
      <x:c r="C34" s="25" t="n">
        <x:v>2</x:v>
      </x:c>
      <x:c r="D34" s="30" t="n">
        <x:v>0.000006503832383231819</x:v>
      </x:c>
      <x:c r="E34" s="25" t="n">
        <x:v>17</x:v>
      </x:c>
      <x:c r="F34" s="25" t="str">
        <x:v>low_le_10pct</x:v>
      </x:c>
      <x:c r="G34" s="25" t="str">
        <x:v>How many family members does client have</x:v>
      </x:c>
    </x:row>
    <x:row r="35" ht="19" customHeight="1">
      <x:c r="A35" s="25" t="str">
        <x:v>REGION_RATING_CLIENT</x:v>
      </x:c>
      <x:c r="B35" s="25" t="str">
        <x:v>int64</x:v>
      </x:c>
      <x:c r="C35" s="25" t="n">
        <x:v>0</x:v>
      </x:c>
      <x:c r="D35" s="30" t="n">
        <x:v>0</x:v>
      </x:c>
      <x:c r="E35" s="25" t="n">
        <x:v>3</x:v>
      </x:c>
      <x:c r="F35" s="25" t="str">
        <x:v>low_le_10pct</x:v>
      </x:c>
      <x:c r="G35" s="25" t="str">
        <x:v>Our rating of the region where client lives (1,2,3)</x:v>
      </x:c>
    </x:row>
    <x:row r="36" ht="19" customHeight="1">
      <x:c r="A36" s="25" t="str">
        <x:v>REGION_RATING_CLIENT_W_CITY</x:v>
      </x:c>
      <x:c r="B36" s="25" t="str">
        <x:v>int64</x:v>
      </x:c>
      <x:c r="C36" s="25" t="n">
        <x:v>0</x:v>
      </x:c>
      <x:c r="D36" s="30" t="n">
        <x:v>0</x:v>
      </x:c>
      <x:c r="E36" s="25" t="n">
        <x:v>3</x:v>
      </x:c>
      <x:c r="F36" s="25" t="str">
        <x:v>low_le_10pct</x:v>
      </x:c>
      <x:c r="G36" s="25" t="str">
        <x:v>Our rating of the region where client lives with taking city into account (1,2,3)</x:v>
      </x:c>
    </x:row>
    <x:row r="37" ht="19" customHeight="1">
      <x:c r="A37" s="25" t="str">
        <x:v>WEEKDAY_APPR_PROCESS_START</x:v>
      </x:c>
      <x:c r="B37" s="25" t="str">
        <x:v>object</x:v>
      </x:c>
      <x:c r="C37" s="25" t="n">
        <x:v>0</x:v>
      </x:c>
      <x:c r="D37" s="30" t="n">
        <x:v>0</x:v>
      </x:c>
      <x:c r="E37" s="25" t="n">
        <x:v>7</x:v>
      </x:c>
      <x:c r="F37" s="25" t="str">
        <x:v>low_le_10pct</x:v>
      </x:c>
      <x:c r="G37" s="25" t="str">
        <x:v>On which day of the week did the client apply for the loan</x:v>
      </x:c>
    </x:row>
    <x:row r="38" ht="19" customHeight="1">
      <x:c r="A38" s="25" t="str">
        <x:v>HOUR_APPR_PROCESS_START</x:v>
      </x:c>
      <x:c r="B38" s="25" t="str">
        <x:v>int64</x:v>
      </x:c>
      <x:c r="C38" s="25" t="n">
        <x:v>0</x:v>
      </x:c>
      <x:c r="D38" s="30" t="n">
        <x:v>0</x:v>
      </x:c>
      <x:c r="E38" s="25" t="n">
        <x:v>24</x:v>
      </x:c>
      <x:c r="F38" s="25" t="str">
        <x:v>low_le_10pct</x:v>
      </x:c>
      <x:c r="G38" s="25" t="str">
        <x:v>Approximately at what hour did the client apply for the loan</x:v>
      </x:c>
    </x:row>
    <x:row r="39" ht="19" customHeight="1">
      <x:c r="A39" s="25" t="str">
        <x:v>REG_REGION_NOT_LIVE_REGION</x:v>
      </x:c>
      <x:c r="B39" s="25" t="str">
        <x:v>int64</x:v>
      </x:c>
      <x:c r="C39" s="25" t="n">
        <x:v>0</x:v>
      </x:c>
      <x:c r="D39" s="30" t="n">
        <x:v>0</x:v>
      </x:c>
      <x:c r="E39" s="25" t="n">
        <x:v>2</x:v>
      </x:c>
      <x:c r="F39" s="25" t="str">
        <x:v>low_le_10pct</x:v>
      </x:c>
      <x:c r="G39" s="25" t="str">
        <x:v>Flag if client's permanent address does not match contact address (1=different, 0=same, at region level)</x:v>
      </x:c>
    </x:row>
    <x:row r="40" ht="19" customHeight="1">
      <x:c r="A40" s="25" t="str">
        <x:v>REG_REGION_NOT_WORK_REGION</x:v>
      </x:c>
      <x:c r="B40" s="25" t="str">
        <x:v>int64</x:v>
      </x:c>
      <x:c r="C40" s="25" t="n">
        <x:v>0</x:v>
      </x:c>
      <x:c r="D40" s="30" t="n">
        <x:v>0</x:v>
      </x:c>
      <x:c r="E40" s="25" t="n">
        <x:v>2</x:v>
      </x:c>
      <x:c r="F40" s="25" t="str">
        <x:v>low_le_10pct</x:v>
      </x:c>
      <x:c r="G40" s="25" t="str">
        <x:v>Flag if client's permanent address does not match work address (1=different, 0=same, at region level)</x:v>
      </x:c>
    </x:row>
    <x:row r="41" ht="19" customHeight="1">
      <x:c r="A41" s="25" t="str">
        <x:v>LIVE_REGION_NOT_WORK_REGION</x:v>
      </x:c>
      <x:c r="B41" s="25" t="str">
        <x:v>int64</x:v>
      </x:c>
      <x:c r="C41" s="25" t="n">
        <x:v>0</x:v>
      </x:c>
      <x:c r="D41" s="30" t="n">
        <x:v>0</x:v>
      </x:c>
      <x:c r="E41" s="25" t="n">
        <x:v>2</x:v>
      </x:c>
      <x:c r="F41" s="25" t="str">
        <x:v>low_le_10pct</x:v>
      </x:c>
      <x:c r="G41" s="25" t="str">
        <x:v>Flag if client's contact address does not match work address (1=different, 0=same, at region level)</x:v>
      </x:c>
    </x:row>
    <x:row r="42" ht="19" customHeight="1">
      <x:c r="A42" s="25" t="str">
        <x:v>REG_CITY_NOT_LIVE_CITY</x:v>
      </x:c>
      <x:c r="B42" s="25" t="str">
        <x:v>int64</x:v>
      </x:c>
      <x:c r="C42" s="25" t="n">
        <x:v>0</x:v>
      </x:c>
      <x:c r="D42" s="30" t="n">
        <x:v>0</x:v>
      </x:c>
      <x:c r="E42" s="25" t="n">
        <x:v>2</x:v>
      </x:c>
      <x:c r="F42" s="25" t="str">
        <x:v>low_le_10pct</x:v>
      </x:c>
      <x:c r="G42" s="25" t="str">
        <x:v>Flag if client's permanent address does not match contact address (1=different, 0=same, at city level)</x:v>
      </x:c>
    </x:row>
    <x:row r="43" ht="19" customHeight="1">
      <x:c r="A43" s="25" t="str">
        <x:v>REG_CITY_NOT_WORK_CITY</x:v>
      </x:c>
      <x:c r="B43" s="25" t="str">
        <x:v>int64</x:v>
      </x:c>
      <x:c r="C43" s="25" t="n">
        <x:v>0</x:v>
      </x:c>
      <x:c r="D43" s="30" t="n">
        <x:v>0</x:v>
      </x:c>
      <x:c r="E43" s="25" t="n">
        <x:v>2</x:v>
      </x:c>
      <x:c r="F43" s="25" t="str">
        <x:v>low_le_10pct</x:v>
      </x:c>
      <x:c r="G43" s="25" t="str">
        <x:v>Flag if client's permanent address does not match work address (1=different, 0=same, at city level)</x:v>
      </x:c>
    </x:row>
    <x:row r="44" ht="19" customHeight="1">
      <x:c r="A44" s="25" t="str">
        <x:v>LIVE_CITY_NOT_WORK_CITY</x:v>
      </x:c>
      <x:c r="B44" s="25" t="str">
        <x:v>int64</x:v>
      </x:c>
      <x:c r="C44" s="25" t="n">
        <x:v>0</x:v>
      </x:c>
      <x:c r="D44" s="30" t="n">
        <x:v>0</x:v>
      </x:c>
      <x:c r="E44" s="25" t="n">
        <x:v>2</x:v>
      </x:c>
      <x:c r="F44" s="25" t="str">
        <x:v>low_le_10pct</x:v>
      </x:c>
      <x:c r="G44" s="25" t="str">
        <x:v>Flag if client's contact address does not match work address (1=different, 0=same, at city level)</x:v>
      </x:c>
    </x:row>
    <x:row r="45" ht="19" customHeight="1">
      <x:c r="A45" s="25" t="str">
        <x:v>ORGANIZATION_TYPE</x:v>
      </x:c>
      <x:c r="B45" s="25" t="str">
        <x:v>object</x:v>
      </x:c>
      <x:c r="C45" s="25" t="n">
        <x:v>0</x:v>
      </x:c>
      <x:c r="D45" s="30" t="n">
        <x:v>0</x:v>
      </x:c>
      <x:c r="E45" s="25" t="n">
        <x:v>58</x:v>
      </x:c>
      <x:c r="F45" s="25" t="str">
        <x:v>low_le_10pct</x:v>
      </x:c>
      <x:c r="G45" s="25" t="str">
        <x:v>Type of organization where client works</x:v>
      </x:c>
    </x:row>
    <x:row r="46" ht="19" customHeight="1">
      <x:c r="A46" s="25" t="str">
        <x:v>EXT_SOURCE_1</x:v>
      </x:c>
      <x:c r="B46" s="25" t="str">
        <x:v>float64</x:v>
      </x:c>
      <x:c r="C46" s="25" t="n">
        <x:v>173378</x:v>
      </x:c>
      <x:c r="D46" s="30" t="n">
        <x:v>0.5638107254699832</x:v>
      </x:c>
      <x:c r="E46" s="25" t="n">
        <x:v>114584</x:v>
      </x:c>
      <x:c r="F46" s="25" t="str">
        <x:v>high_gt_30pct</x:v>
      </x:c>
      <x:c r="G46" s="25" t="str">
        <x:v>Normalized score from external data source</x:v>
      </x:c>
    </x:row>
    <x:row r="47" ht="19" customHeight="1">
      <x:c r="A47" s="25" t="str">
        <x:v>EXT_SOURCE_2</x:v>
      </x:c>
      <x:c r="B47" s="25" t="str">
        <x:v>float64</x:v>
      </x:c>
      <x:c r="C47" s="25" t="n">
        <x:v>660</x:v>
      </x:c>
      <x:c r="D47" s="30" t="n">
        <x:v>0.0021462646864665006</x:v>
      </x:c>
      <x:c r="E47" s="25" t="n">
        <x:v>119831</x:v>
      </x:c>
      <x:c r="F47" s="25" t="str">
        <x:v>low_le_10pct</x:v>
      </x:c>
      <x:c r="G47" s="25" t="str">
        <x:v>Normalized score from external data source</x:v>
      </x:c>
    </x:row>
    <x:row r="48" ht="19" customHeight="1">
      <x:c r="A48" s="25" t="str">
        <x:v>EXT_SOURCE_3</x:v>
      </x:c>
      <x:c r="B48" s="25" t="str">
        <x:v>float64</x:v>
      </x:c>
      <x:c r="C48" s="25" t="n">
        <x:v>60965</x:v>
      </x:c>
      <x:c r="D48" s="30" t="n">
        <x:v>0.19825307062186392</x:v>
      </x:c>
      <x:c r="E48" s="25" t="n">
        <x:v>814</x:v>
      </x:c>
      <x:c r="F48" s="25" t="str">
        <x:v>mid_le_30pct</x:v>
      </x:c>
      <x:c r="G48" s="25" t="str">
        <x:v>Normalized score from external data source</x:v>
      </x:c>
    </x:row>
    <x:row r="49" ht="19" customHeight="1">
      <x:c r="A49" s="25" t="str">
        <x:v>APARTMENTS_AVG</x:v>
      </x:c>
      <x:c r="B49" s="25" t="str">
        <x:v>float64</x:v>
      </x:c>
      <x:c r="C49" s="25" t="n">
        <x:v>156061</x:v>
      </x:c>
      <x:c r="D49" s="30" t="n">
        <x:v>0.5074972927797705</x:v>
      </x:c>
      <x:c r="E49" s="25" t="n">
        <x:v>2339</x:v>
      </x:c>
      <x:c r="F49" s="25" t="str">
        <x:v>high_gt_30pct</x:v>
      </x:c>
      <x:c r="G49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50" ht="19" customHeight="1">
      <x:c r="A50" s="25" t="str">
        <x:v>BASEMENTAREA_AVG</x:v>
      </x:c>
      <x:c r="B50" s="25" t="str">
        <x:v>float64</x:v>
      </x:c>
      <x:c r="C50" s="25" t="n">
        <x:v>179943</x:v>
      </x:c>
      <x:c r="D50" s="30" t="n">
        <x:v>0.5851595552679416</x:v>
      </x:c>
      <x:c r="E50" s="25" t="n">
        <x:v>3780</x:v>
      </x:c>
      <x:c r="F50" s="25" t="str">
        <x:v>high_gt_30pct</x:v>
      </x:c>
      <x:c r="G50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51" ht="19" customHeight="1">
      <x:c r="A51" s="25" t="str">
        <x:v>YEARS_BEGINEXPLUATATION_AVG</x:v>
      </x:c>
      <x:c r="B51" s="25" t="str">
        <x:v>float64</x:v>
      </x:c>
      <x:c r="C51" s="25" t="n">
        <x:v>150007</x:v>
      </x:c>
      <x:c r="D51" s="30" t="n">
        <x:v>0.48781019215572774</x:v>
      </x:c>
      <x:c r="E51" s="25" t="n">
        <x:v>285</x:v>
      </x:c>
      <x:c r="F51" s="25" t="str">
        <x:v>high_gt_30pct</x:v>
      </x:c>
      <x:c r="G51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52" ht="19" customHeight="1">
      <x:c r="A52" s="25" t="str">
        <x:v>YEARS_BUILD_AVG</x:v>
      </x:c>
      <x:c r="B52" s="25" t="str">
        <x:v>float64</x:v>
      </x:c>
      <x:c r="C52" s="25" t="n">
        <x:v>204488</x:v>
      </x:c>
      <x:c r="D52" s="30" t="n">
        <x:v>0.6649778381911542</x:v>
      </x:c>
      <x:c r="E52" s="25" t="n">
        <x:v>149</x:v>
      </x:c>
      <x:c r="F52" s="25" t="str">
        <x:v>high_gt_30pct</x:v>
      </x:c>
      <x:c r="G52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53" ht="19" customHeight="1">
      <x:c r="A53" s="25" t="str">
        <x:v>COMMONAREA_AVG</x:v>
      </x:c>
      <x:c r="B53" s="25" t="str">
        <x:v>float64</x:v>
      </x:c>
      <x:c r="C53" s="25" t="n">
        <x:v>214865</x:v>
      </x:c>
      <x:c r="D53" s="30" t="n">
        <x:v>0.6987229725115525</x:v>
      </x:c>
      <x:c r="E53" s="25" t="n">
        <x:v>3181</x:v>
      </x:c>
      <x:c r="F53" s="25" t="str">
        <x:v>high_gt_30pct</x:v>
      </x:c>
      <x:c r="G53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54" ht="19" customHeight="1">
      <x:c r="A54" s="25" t="str">
        <x:v>ELEVATORS_AVG</x:v>
      </x:c>
      <x:c r="B54" s="25" t="str">
        <x:v>float64</x:v>
      </x:c>
      <x:c r="C54" s="25" t="n">
        <x:v>163891</x:v>
      </x:c>
      <x:c r="D54" s="30" t="n">
        <x:v>0.532959796560123</x:v>
      </x:c>
      <x:c r="E54" s="25" t="n">
        <x:v>257</x:v>
      </x:c>
      <x:c r="F54" s="25" t="str">
        <x:v>high_gt_30pct</x:v>
      </x:c>
      <x:c r="G54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55" ht="19" customHeight="1">
      <x:c r="A55" s="25" t="str">
        <x:v>ENTRANCES_AVG</x:v>
      </x:c>
      <x:c r="B55" s="25" t="str">
        <x:v>float64</x:v>
      </x:c>
      <x:c r="C55" s="25" t="n">
        <x:v>154828</x:v>
      </x:c>
      <x:c r="D55" s="30" t="n">
        <x:v>0.503487680115508</x:v>
      </x:c>
      <x:c r="E55" s="25" t="n">
        <x:v>285</x:v>
      </x:c>
      <x:c r="F55" s="25" t="str">
        <x:v>high_gt_30pct</x:v>
      </x:c>
      <x:c r="G55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56" ht="19" customHeight="1">
      <x:c r="A56" s="25" t="str">
        <x:v>FLOORSMAX_AVG</x:v>
      </x:c>
      <x:c r="B56" s="25" t="str">
        <x:v>float64</x:v>
      </x:c>
      <x:c r="C56" s="25" t="n">
        <x:v>153020</x:v>
      </x:c>
      <x:c r="D56" s="30" t="n">
        <x:v>0.4976082156410665</x:v>
      </x:c>
      <x:c r="E56" s="25" t="n">
        <x:v>403</x:v>
      </x:c>
      <x:c r="F56" s="25" t="str">
        <x:v>high_gt_30pct</x:v>
      </x:c>
      <x:c r="G56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57" ht="19" customHeight="1">
      <x:c r="A57" s="25" t="str">
        <x:v>FLOORSMIN_AVG</x:v>
      </x:c>
      <x:c r="B57" s="25" t="str">
        <x:v>float64</x:v>
      </x:c>
      <x:c r="C57" s="25" t="n">
        <x:v>208642</x:v>
      </x:c>
      <x:c r="D57" s="30" t="n">
        <x:v>0.6784862980511266</x:v>
      </x:c>
      <x:c r="E57" s="25" t="n">
        <x:v>305</x:v>
      </x:c>
      <x:c r="F57" s="25" t="str">
        <x:v>high_gt_30pct</x:v>
      </x:c>
      <x:c r="G57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58" ht="19" customHeight="1">
      <x:c r="A58" s="25" t="str">
        <x:v>LANDAREA_AVG</x:v>
      </x:c>
      <x:c r="B58" s="25" t="str">
        <x:v>float64</x:v>
      </x:c>
      <x:c r="C58" s="25" t="n">
        <x:v>182590</x:v>
      </x:c>
      <x:c r="D58" s="30" t="n">
        <x:v>0.5937673774271489</x:v>
      </x:c>
      <x:c r="E58" s="25" t="n">
        <x:v>3527</x:v>
      </x:c>
      <x:c r="F58" s="25" t="str">
        <x:v>high_gt_30pct</x:v>
      </x:c>
      <x:c r="G58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59" ht="19" customHeight="1">
      <x:c r="A59" s="25" t="str">
        <x:v>LIVINGAPARTMENTS_AVG</x:v>
      </x:c>
      <x:c r="B59" s="25" t="str">
        <x:v>float64</x:v>
      </x:c>
      <x:c r="C59" s="25" t="n">
        <x:v>210199</x:v>
      </x:c>
      <x:c r="D59" s="30" t="n">
        <x:v>0.6835495315614726</x:v>
      </x:c>
      <x:c r="E59" s="25" t="n">
        <x:v>1868</x:v>
      </x:c>
      <x:c r="F59" s="25" t="str">
        <x:v>high_gt_30pct</x:v>
      </x:c>
      <x:c r="G59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60" ht="19" customHeight="1">
      <x:c r="A60" s="25" t="str">
        <x:v>LIVINGAREA_AVG</x:v>
      </x:c>
      <x:c r="B60" s="25" t="str">
        <x:v>float64</x:v>
      </x:c>
      <x:c r="C60" s="25" t="n">
        <x:v>154350</x:v>
      </x:c>
      <x:c r="D60" s="30" t="n">
        <x:v>0.5019332641759157</x:v>
      </x:c>
      <x:c r="E60" s="25" t="n">
        <x:v>5199</x:v>
      </x:c>
      <x:c r="F60" s="25" t="str">
        <x:v>high_gt_30pct</x:v>
      </x:c>
      <x:c r="G60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61" ht="19" customHeight="1">
      <x:c r="A61" s="25" t="str">
        <x:v>NONLIVINGAPARTMENTS_AVG</x:v>
      </x:c>
      <x:c r="B61" s="25" t="str">
        <x:v>float64</x:v>
      </x:c>
      <x:c r="C61" s="25" t="n">
        <x:v>213514</x:v>
      </x:c>
      <x:c r="D61" s="30" t="n">
        <x:v>0.6943296337366793</x:v>
      </x:c>
      <x:c r="E61" s="25" t="n">
        <x:v>386</x:v>
      </x:c>
      <x:c r="F61" s="25" t="str">
        <x:v>high_gt_30pct</x:v>
      </x:c>
      <x:c r="G61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62" ht="19" customHeight="1">
      <x:c r="A62" s="25" t="str">
        <x:v>NONLIVINGAREA_AVG</x:v>
      </x:c>
      <x:c r="B62" s="25" t="str">
        <x:v>float64</x:v>
      </x:c>
      <x:c r="C62" s="25" t="n">
        <x:v>169682</x:v>
      </x:c>
      <x:c r="D62" s="30" t="n">
        <x:v>0.5517916432257708</x:v>
      </x:c>
      <x:c r="E62" s="25" t="n">
        <x:v>3290</x:v>
      </x:c>
      <x:c r="F62" s="25" t="str">
        <x:v>high_gt_30pct</x:v>
      </x:c>
      <x:c r="G62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63" ht="19" customHeight="1">
      <x:c r="A63" s="25" t="str">
        <x:v>APARTMENTS_MODE</x:v>
      </x:c>
      <x:c r="B63" s="25" t="str">
        <x:v>float64</x:v>
      </x:c>
      <x:c r="C63" s="25" t="n">
        <x:v>156061</x:v>
      </x:c>
      <x:c r="D63" s="30" t="n">
        <x:v>0.5074972927797705</x:v>
      </x:c>
      <x:c r="E63" s="25" t="n">
        <x:v>760</x:v>
      </x:c>
      <x:c r="F63" s="25" t="str">
        <x:v>high_gt_30pct</x:v>
      </x:c>
      <x:c r="G63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64" ht="19" customHeight="1">
      <x:c r="A64" s="25" t="str">
        <x:v>BASEMENTAREA_MODE</x:v>
      </x:c>
      <x:c r="B64" s="25" t="str">
        <x:v>float64</x:v>
      </x:c>
      <x:c r="C64" s="25" t="n">
        <x:v>179943</x:v>
      </x:c>
      <x:c r="D64" s="30" t="n">
        <x:v>0.5851595552679416</x:v>
      </x:c>
      <x:c r="E64" s="25" t="n">
        <x:v>3841</x:v>
      </x:c>
      <x:c r="F64" s="25" t="str">
        <x:v>high_gt_30pct</x:v>
      </x:c>
      <x:c r="G64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65" ht="19" customHeight="1">
      <x:c r="A65" s="25" t="str">
        <x:v>YEARS_BEGINEXPLUATATION_MODE</x:v>
      </x:c>
      <x:c r="B65" s="25" t="str">
        <x:v>float64</x:v>
      </x:c>
      <x:c r="C65" s="25" t="n">
        <x:v>150007</x:v>
      </x:c>
      <x:c r="D65" s="30" t="n">
        <x:v>0.48781019215572774</x:v>
      </x:c>
      <x:c r="E65" s="25" t="n">
        <x:v>221</x:v>
      </x:c>
      <x:c r="F65" s="25" t="str">
        <x:v>high_gt_30pct</x:v>
      </x:c>
      <x:c r="G65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66" ht="19" customHeight="1">
      <x:c r="A66" s="25" t="str">
        <x:v>YEARS_BUILD_MODE</x:v>
      </x:c>
      <x:c r="B66" s="25" t="str">
        <x:v>float64</x:v>
      </x:c>
      <x:c r="C66" s="25" t="n">
        <x:v>204488</x:v>
      </x:c>
      <x:c r="D66" s="30" t="n">
        <x:v>0.6649778381911542</x:v>
      </x:c>
      <x:c r="E66" s="25" t="n">
        <x:v>154</x:v>
      </x:c>
      <x:c r="F66" s="25" t="str">
        <x:v>high_gt_30pct</x:v>
      </x:c>
      <x:c r="G66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67" ht="19" customHeight="1">
      <x:c r="A67" s="25" t="str">
        <x:v>COMMONAREA_MODE</x:v>
      </x:c>
      <x:c r="B67" s="25" t="str">
        <x:v>float64</x:v>
      </x:c>
      <x:c r="C67" s="25" t="n">
        <x:v>214865</x:v>
      </x:c>
      <x:c r="D67" s="30" t="n">
        <x:v>0.6987229725115525</x:v>
      </x:c>
      <x:c r="E67" s="25" t="n">
        <x:v>3128</x:v>
      </x:c>
      <x:c r="F67" s="25" t="str">
        <x:v>high_gt_30pct</x:v>
      </x:c>
      <x:c r="G67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68" ht="19" customHeight="1">
      <x:c r="A68" s="25" t="str">
        <x:v>ELEVATORS_MODE</x:v>
      </x:c>
      <x:c r="B68" s="25" t="str">
        <x:v>float64</x:v>
      </x:c>
      <x:c r="C68" s="25" t="n">
        <x:v>163891</x:v>
      </x:c>
      <x:c r="D68" s="30" t="n">
        <x:v>0.532959796560123</x:v>
      </x:c>
      <x:c r="E68" s="25" t="n">
        <x:v>26</x:v>
      </x:c>
      <x:c r="F68" s="25" t="str">
        <x:v>high_gt_30pct</x:v>
      </x:c>
      <x:c r="G68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69" ht="19" customHeight="1">
      <x:c r="A69" s="25" t="str">
        <x:v>ENTRANCES_MODE</x:v>
      </x:c>
      <x:c r="B69" s="25" t="str">
        <x:v>float64</x:v>
      </x:c>
      <x:c r="C69" s="25" t="n">
        <x:v>154828</x:v>
      </x:c>
      <x:c r="D69" s="30" t="n">
        <x:v>0.503487680115508</x:v>
      </x:c>
      <x:c r="E69" s="25" t="n">
        <x:v>30</x:v>
      </x:c>
      <x:c r="F69" s="25" t="str">
        <x:v>high_gt_30pct</x:v>
      </x:c>
      <x:c r="G69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70" ht="19" customHeight="1">
      <x:c r="A70" s="25" t="str">
        <x:v>FLOORSMAX_MODE</x:v>
      </x:c>
      <x:c r="B70" s="25" t="str">
        <x:v>float64</x:v>
      </x:c>
      <x:c r="C70" s="25" t="n">
        <x:v>153020</x:v>
      </x:c>
      <x:c r="D70" s="30" t="n">
        <x:v>0.4976082156410665</x:v>
      </x:c>
      <x:c r="E70" s="25" t="n">
        <x:v>25</x:v>
      </x:c>
      <x:c r="F70" s="25" t="str">
        <x:v>high_gt_30pct</x:v>
      </x:c>
      <x:c r="G70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71" ht="19" customHeight="1">
      <x:c r="A71" s="25" t="str">
        <x:v>FLOORSMIN_MODE</x:v>
      </x:c>
      <x:c r="B71" s="25" t="str">
        <x:v>float64</x:v>
      </x:c>
      <x:c r="C71" s="25" t="n">
        <x:v>208642</x:v>
      </x:c>
      <x:c r="D71" s="30" t="n">
        <x:v>0.6784862980511266</x:v>
      </x:c>
      <x:c r="E71" s="25" t="n">
        <x:v>25</x:v>
      </x:c>
      <x:c r="F71" s="25" t="str">
        <x:v>high_gt_30pct</x:v>
      </x:c>
      <x:c r="G71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72" ht="19" customHeight="1">
      <x:c r="A72" s="25" t="str">
        <x:v>LANDAREA_MODE</x:v>
      </x:c>
      <x:c r="B72" s="25" t="str">
        <x:v>float64</x:v>
      </x:c>
      <x:c r="C72" s="25" t="n">
        <x:v>182590</x:v>
      </x:c>
      <x:c r="D72" s="30" t="n">
        <x:v>0.5937673774271489</x:v>
      </x:c>
      <x:c r="E72" s="25" t="n">
        <x:v>3563</x:v>
      </x:c>
      <x:c r="F72" s="25" t="str">
        <x:v>high_gt_30pct</x:v>
      </x:c>
      <x:c r="G72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73" ht="19" customHeight="1">
      <x:c r="A73" s="25" t="str">
        <x:v>LIVINGAPARTMENTS_MODE</x:v>
      </x:c>
      <x:c r="B73" s="25" t="str">
        <x:v>float64</x:v>
      </x:c>
      <x:c r="C73" s="25" t="n">
        <x:v>210199</x:v>
      </x:c>
      <x:c r="D73" s="30" t="n">
        <x:v>0.6835495315614726</x:v>
      </x:c>
      <x:c r="E73" s="25" t="n">
        <x:v>736</x:v>
      </x:c>
      <x:c r="F73" s="25" t="str">
        <x:v>high_gt_30pct</x:v>
      </x:c>
      <x:c r="G73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74" ht="19" customHeight="1">
      <x:c r="A74" s="25" t="str">
        <x:v>LIVINGAREA_MODE</x:v>
      </x:c>
      <x:c r="B74" s="25" t="str">
        <x:v>float64</x:v>
      </x:c>
      <x:c r="C74" s="25" t="n">
        <x:v>154350</x:v>
      </x:c>
      <x:c r="D74" s="30" t="n">
        <x:v>0.5019332641759157</x:v>
      </x:c>
      <x:c r="E74" s="25" t="n">
        <x:v>5301</x:v>
      </x:c>
      <x:c r="F74" s="25" t="str">
        <x:v>high_gt_30pct</x:v>
      </x:c>
      <x:c r="G74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75" ht="19" customHeight="1">
      <x:c r="A75" s="25" t="str">
        <x:v>NONLIVINGAPARTMENTS_MODE</x:v>
      </x:c>
      <x:c r="B75" s="25" t="str">
        <x:v>float64</x:v>
      </x:c>
      <x:c r="C75" s="25" t="n">
        <x:v>213514</x:v>
      </x:c>
      <x:c r="D75" s="30" t="n">
        <x:v>0.6943296337366793</x:v>
      </x:c>
      <x:c r="E75" s="25" t="n">
        <x:v>167</x:v>
      </x:c>
      <x:c r="F75" s="25" t="str">
        <x:v>high_gt_30pct</x:v>
      </x:c>
      <x:c r="G75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76" ht="19" customHeight="1">
      <x:c r="A76" s="25" t="str">
        <x:v>NONLIVINGAREA_MODE</x:v>
      </x:c>
      <x:c r="B76" s="25" t="str">
        <x:v>float64</x:v>
      </x:c>
      <x:c r="C76" s="25" t="n">
        <x:v>169682</x:v>
      </x:c>
      <x:c r="D76" s="30" t="n">
        <x:v>0.5517916432257708</x:v>
      </x:c>
      <x:c r="E76" s="25" t="n">
        <x:v>3327</x:v>
      </x:c>
      <x:c r="F76" s="25" t="str">
        <x:v>high_gt_30pct</x:v>
      </x:c>
      <x:c r="G76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77" ht="19" customHeight="1">
      <x:c r="A77" s="25" t="str">
        <x:v>APARTMENTS_MEDI</x:v>
      </x:c>
      <x:c r="B77" s="25" t="str">
        <x:v>float64</x:v>
      </x:c>
      <x:c r="C77" s="25" t="n">
        <x:v>156061</x:v>
      </x:c>
      <x:c r="D77" s="30" t="n">
        <x:v>0.5074972927797705</x:v>
      </x:c>
      <x:c r="E77" s="25" t="n">
        <x:v>1148</x:v>
      </x:c>
      <x:c r="F77" s="25" t="str">
        <x:v>high_gt_30pct</x:v>
      </x:c>
      <x:c r="G77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78" ht="19" customHeight="1">
      <x:c r="A78" s="25" t="str">
        <x:v>BASEMENTAREA_MEDI</x:v>
      </x:c>
      <x:c r="B78" s="25" t="str">
        <x:v>float64</x:v>
      </x:c>
      <x:c r="C78" s="25" t="n">
        <x:v>179943</x:v>
      </x:c>
      <x:c r="D78" s="30" t="n">
        <x:v>0.5851595552679416</x:v>
      </x:c>
      <x:c r="E78" s="25" t="n">
        <x:v>3772</x:v>
      </x:c>
      <x:c r="F78" s="25" t="str">
        <x:v>high_gt_30pct</x:v>
      </x:c>
      <x:c r="G78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79" ht="19" customHeight="1">
      <x:c r="A79" s="25" t="str">
        <x:v>YEARS_BEGINEXPLUATATION_MEDI</x:v>
      </x:c>
      <x:c r="B79" s="25" t="str">
        <x:v>float64</x:v>
      </x:c>
      <x:c r="C79" s="25" t="n">
        <x:v>150007</x:v>
      </x:c>
      <x:c r="D79" s="30" t="n">
        <x:v>0.48781019215572774</x:v>
      </x:c>
      <x:c r="E79" s="25" t="n">
        <x:v>245</x:v>
      </x:c>
      <x:c r="F79" s="25" t="str">
        <x:v>high_gt_30pct</x:v>
      </x:c>
      <x:c r="G79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80" ht="19" customHeight="1">
      <x:c r="A80" s="25" t="str">
        <x:v>YEARS_BUILD_MEDI</x:v>
      </x:c>
      <x:c r="B80" s="25" t="str">
        <x:v>float64</x:v>
      </x:c>
      <x:c r="C80" s="25" t="n">
        <x:v>204488</x:v>
      </x:c>
      <x:c r="D80" s="30" t="n">
        <x:v>0.6649778381911542</x:v>
      </x:c>
      <x:c r="E80" s="25" t="n">
        <x:v>151</x:v>
      </x:c>
      <x:c r="F80" s="25" t="str">
        <x:v>high_gt_30pct</x:v>
      </x:c>
      <x:c r="G80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81" ht="19" customHeight="1">
      <x:c r="A81" s="25" t="str">
        <x:v>COMMONAREA_MEDI</x:v>
      </x:c>
      <x:c r="B81" s="25" t="str">
        <x:v>float64</x:v>
      </x:c>
      <x:c r="C81" s="25" t="n">
        <x:v>214865</x:v>
      </x:c>
      <x:c r="D81" s="30" t="n">
        <x:v>0.6987229725115525</x:v>
      </x:c>
      <x:c r="E81" s="25" t="n">
        <x:v>3202</x:v>
      </x:c>
      <x:c r="F81" s="25" t="str">
        <x:v>high_gt_30pct</x:v>
      </x:c>
      <x:c r="G81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82" ht="19" customHeight="1">
      <x:c r="A82" s="25" t="str">
        <x:v>ELEVATORS_MEDI</x:v>
      </x:c>
      <x:c r="B82" s="25" t="str">
        <x:v>float64</x:v>
      </x:c>
      <x:c r="C82" s="25" t="n">
        <x:v>163891</x:v>
      </x:c>
      <x:c r="D82" s="30" t="n">
        <x:v>0.532959796560123</x:v>
      </x:c>
      <x:c r="E82" s="25" t="n">
        <x:v>46</x:v>
      </x:c>
      <x:c r="F82" s="25" t="str">
        <x:v>high_gt_30pct</x:v>
      </x:c>
      <x:c r="G82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83" ht="19" customHeight="1">
      <x:c r="A83" s="25" t="str">
        <x:v>ENTRANCES_MEDI</x:v>
      </x:c>
      <x:c r="B83" s="25" t="str">
        <x:v>float64</x:v>
      </x:c>
      <x:c r="C83" s="25" t="n">
        <x:v>154828</x:v>
      </x:c>
      <x:c r="D83" s="30" t="n">
        <x:v>0.503487680115508</x:v>
      </x:c>
      <x:c r="E83" s="25" t="n">
        <x:v>46</x:v>
      </x:c>
      <x:c r="F83" s="25" t="str">
        <x:v>high_gt_30pct</x:v>
      </x:c>
      <x:c r="G83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84" ht="19" customHeight="1">
      <x:c r="A84" s="25" t="str">
        <x:v>FLOORSMAX_MEDI</x:v>
      </x:c>
      <x:c r="B84" s="25" t="str">
        <x:v>float64</x:v>
      </x:c>
      <x:c r="C84" s="25" t="n">
        <x:v>153020</x:v>
      </x:c>
      <x:c r="D84" s="30" t="n">
        <x:v>0.4976082156410665</x:v>
      </x:c>
      <x:c r="E84" s="25" t="n">
        <x:v>49</x:v>
      </x:c>
      <x:c r="F84" s="25" t="str">
        <x:v>high_gt_30pct</x:v>
      </x:c>
      <x:c r="G84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85" ht="19" customHeight="1">
      <x:c r="A85" s="25" t="str">
        <x:v>FLOORSMIN_MEDI</x:v>
      </x:c>
      <x:c r="B85" s="25" t="str">
        <x:v>float64</x:v>
      </x:c>
      <x:c r="C85" s="25" t="n">
        <x:v>208642</x:v>
      </x:c>
      <x:c r="D85" s="30" t="n">
        <x:v>0.6784862980511266</x:v>
      </x:c>
      <x:c r="E85" s="25" t="n">
        <x:v>47</x:v>
      </x:c>
      <x:c r="F85" s="25" t="str">
        <x:v>high_gt_30pct</x:v>
      </x:c>
      <x:c r="G85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86" ht="19" customHeight="1">
      <x:c r="A86" s="25" t="str">
        <x:v>LANDAREA_MEDI</x:v>
      </x:c>
      <x:c r="B86" s="25" t="str">
        <x:v>float64</x:v>
      </x:c>
      <x:c r="C86" s="25" t="n">
        <x:v>182590</x:v>
      </x:c>
      <x:c r="D86" s="30" t="n">
        <x:v>0.5937673774271489</x:v>
      </x:c>
      <x:c r="E86" s="25" t="n">
        <x:v>3560</x:v>
      </x:c>
      <x:c r="F86" s="25" t="str">
        <x:v>high_gt_30pct</x:v>
      </x:c>
      <x:c r="G86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87" ht="19" customHeight="1">
      <x:c r="A87" s="25" t="str">
        <x:v>LIVINGAPARTMENTS_MEDI</x:v>
      </x:c>
      <x:c r="B87" s="25" t="str">
        <x:v>float64</x:v>
      </x:c>
      <x:c r="C87" s="25" t="n">
        <x:v>210199</x:v>
      </x:c>
      <x:c r="D87" s="30" t="n">
        <x:v>0.6835495315614726</x:v>
      </x:c>
      <x:c r="E87" s="25" t="n">
        <x:v>1097</x:v>
      </x:c>
      <x:c r="F87" s="25" t="str">
        <x:v>high_gt_30pct</x:v>
      </x:c>
      <x:c r="G87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88" ht="19" customHeight="1">
      <x:c r="A88" s="25" t="str">
        <x:v>LIVINGAREA_MEDI</x:v>
      </x:c>
      <x:c r="B88" s="25" t="str">
        <x:v>float64</x:v>
      </x:c>
      <x:c r="C88" s="25" t="n">
        <x:v>154350</x:v>
      </x:c>
      <x:c r="D88" s="30" t="n">
        <x:v>0.5019332641759157</x:v>
      </x:c>
      <x:c r="E88" s="25" t="n">
        <x:v>5281</x:v>
      </x:c>
      <x:c r="F88" s="25" t="str">
        <x:v>high_gt_30pct</x:v>
      </x:c>
      <x:c r="G88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89" ht="19" customHeight="1">
      <x:c r="A89" s="25" t="str">
        <x:v>NONLIVINGAPARTMENTS_MEDI</x:v>
      </x:c>
      <x:c r="B89" s="25" t="str">
        <x:v>float64</x:v>
      </x:c>
      <x:c r="C89" s="25" t="n">
        <x:v>213514</x:v>
      </x:c>
      <x:c r="D89" s="30" t="n">
        <x:v>0.6943296337366793</x:v>
      </x:c>
      <x:c r="E89" s="25" t="n">
        <x:v>214</x:v>
      </x:c>
      <x:c r="F89" s="25" t="str">
        <x:v>high_gt_30pct</x:v>
      </x:c>
      <x:c r="G89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90" ht="19" customHeight="1">
      <x:c r="A90" s="25" t="str">
        <x:v>NONLIVINGAREA_MEDI</x:v>
      </x:c>
      <x:c r="B90" s="25" t="str">
        <x:v>float64</x:v>
      </x:c>
      <x:c r="C90" s="25" t="n">
        <x:v>169682</x:v>
      </x:c>
      <x:c r="D90" s="30" t="n">
        <x:v>0.5517916432257708</x:v>
      </x:c>
      <x:c r="E90" s="25" t="n">
        <x:v>3323</x:v>
      </x:c>
      <x:c r="F90" s="25" t="str">
        <x:v>high_gt_30pct</x:v>
      </x:c>
      <x:c r="G90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91" ht="19" customHeight="1">
      <x:c r="A91" s="25" t="str">
        <x:v>FONDKAPREMONT_MODE</x:v>
      </x:c>
      <x:c r="B91" s="25" t="str">
        <x:v>object</x:v>
      </x:c>
      <x:c r="C91" s="25" t="n">
        <x:v>210295</x:v>
      </x:c>
      <x:c r="D91" s="30" t="n">
        <x:v>0.6838617155158677</x:v>
      </x:c>
      <x:c r="E91" s="25" t="n">
        <x:v>4</x:v>
      </x:c>
      <x:c r="F91" s="25" t="str">
        <x:v>high_gt_30pct</x:v>
      </x:c>
      <x:c r="G91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92" ht="19" customHeight="1">
      <x:c r="A92" s="25" t="str">
        <x:v>HOUSETYPE_MODE</x:v>
      </x:c>
      <x:c r="B92" s="25" t="str">
        <x:v>object</x:v>
      </x:c>
      <x:c r="C92" s="25" t="n">
        <x:v>154297</x:v>
      </x:c>
      <x:c r="D92" s="30" t="n">
        <x:v>0.50176091261776</x:v>
      </x:c>
      <x:c r="E92" s="25" t="n">
        <x:v>3</x:v>
      </x:c>
      <x:c r="F92" s="25" t="str">
        <x:v>high_gt_30pct</x:v>
      </x:c>
      <x:c r="G92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93" ht="19" customHeight="1">
      <x:c r="A93" s="25" t="str">
        <x:v>TOTALAREA_MODE</x:v>
      </x:c>
      <x:c r="B93" s="25" t="str">
        <x:v>float64</x:v>
      </x:c>
      <x:c r="C93" s="25" t="n">
        <x:v>148431</x:v>
      </x:c>
      <x:c r="D93" s="30" t="n">
        <x:v>0.4826851722377411</x:v>
      </x:c>
      <x:c r="E93" s="25" t="n">
        <x:v>5116</x:v>
      </x:c>
      <x:c r="F93" s="25" t="str">
        <x:v>high_gt_30pct</x:v>
      </x:c>
      <x:c r="G93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94" ht="19" customHeight="1">
      <x:c r="A94" s="25" t="str">
        <x:v>WALLSMATERIAL_MODE</x:v>
      </x:c>
      <x:c r="B94" s="25" t="str">
        <x:v>object</x:v>
      </x:c>
      <x:c r="C94" s="25" t="n">
        <x:v>156341</x:v>
      </x:c>
      <x:c r="D94" s="30" t="n">
        <x:v>0.508407829313423</x:v>
      </x:c>
      <x:c r="E94" s="25" t="n">
        <x:v>7</x:v>
      </x:c>
      <x:c r="F94" s="25" t="str">
        <x:v>high_gt_30pct</x:v>
      </x:c>
      <x:c r="G94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95" ht="19" customHeight="1">
      <x:c r="A95" s="25" t="str">
        <x:v>EMERGENCYSTATE_MODE</x:v>
      </x:c>
      <x:c r="B95" s="25" t="str">
        <x:v>object</x:v>
      </x:c>
      <x:c r="C95" s="25" t="n">
        <x:v>145755</x:v>
      </x:c>
      <x:c r="D95" s="30" t="n">
        <x:v>0.47398304450897694</x:v>
      </x:c>
      <x:c r="E95" s="25" t="n">
        <x:v>2</x:v>
      </x:c>
      <x:c r="F95" s="25" t="str">
        <x:v>high_gt_30pct</x:v>
      </x:c>
      <x:c r="G95" s="25" t="str">
        <x:v>Normalized information about building where the client lives, What is average (_AVG suffix), modus (_MODE suffix), median (_MEDI suffix) apartment size, common area, living area, age of building, number of elevators, number of entrances, state of the building, number of floor</x:v>
      </x:c>
    </x:row>
    <x:row r="96" ht="19" customHeight="1">
      <x:c r="A96" s="25" t="str">
        <x:v>OBS_30_CNT_SOCIAL_CIRCLE</x:v>
      </x:c>
      <x:c r="B96" s="25" t="str">
        <x:v>float64</x:v>
      </x:c>
      <x:c r="C96" s="25" t="n">
        <x:v>1021</x:v>
      </x:c>
      <x:c r="D96" s="30" t="n">
        <x:v>0.0033202064316398437</x:v>
      </x:c>
      <x:c r="E96" s="25" t="n">
        <x:v>33</x:v>
      </x:c>
      <x:c r="F96" s="25" t="str">
        <x:v>low_le_10pct</x:v>
      </x:c>
      <x:c r="G96" s="25" t="str">
        <x:v>How many observation of client's social surroundings with observable 30 DPD (days past due) default</x:v>
      </x:c>
    </x:row>
    <x:row r="97" ht="19" customHeight="1">
      <x:c r="A97" s="25" t="str">
        <x:v>DEF_30_CNT_SOCIAL_CIRCLE</x:v>
      </x:c>
      <x:c r="B97" s="25" t="str">
        <x:v>float64</x:v>
      </x:c>
      <x:c r="C97" s="25" t="n">
        <x:v>1021</x:v>
      </x:c>
      <x:c r="D97" s="30" t="n">
        <x:v>0.0033202064316398437</x:v>
      </x:c>
      <x:c r="E97" s="25" t="n">
        <x:v>10</x:v>
      </x:c>
      <x:c r="F97" s="25" t="str">
        <x:v>low_le_10pct</x:v>
      </x:c>
      <x:c r="G97" s="25" t="str">
        <x:v>How many observation of client's social surroundings defaulted on 30 DPD (days past due) </x:v>
      </x:c>
    </x:row>
    <x:row r="98" ht="19" customHeight="1">
      <x:c r="A98" s="25" t="str">
        <x:v>OBS_60_CNT_SOCIAL_CIRCLE</x:v>
      </x:c>
      <x:c r="B98" s="25" t="str">
        <x:v>float64</x:v>
      </x:c>
      <x:c r="C98" s="25" t="n">
        <x:v>1021</x:v>
      </x:c>
      <x:c r="D98" s="30" t="n">
        <x:v>0.0033202064316398437</x:v>
      </x:c>
      <x:c r="E98" s="25" t="n">
        <x:v>33</x:v>
      </x:c>
      <x:c r="F98" s="25" t="str">
        <x:v>low_le_10pct</x:v>
      </x:c>
      <x:c r="G98" s="25" t="str">
        <x:v>How many observation of client's social surroundings with observable 60 DPD (days past due) default</x:v>
      </x:c>
    </x:row>
    <x:row r="99" ht="19" customHeight="1">
      <x:c r="A99" s="25" t="str">
        <x:v>DEF_60_CNT_SOCIAL_CIRCLE</x:v>
      </x:c>
      <x:c r="B99" s="25" t="str">
        <x:v>float64</x:v>
      </x:c>
      <x:c r="C99" s="25" t="n">
        <x:v>1021</x:v>
      </x:c>
      <x:c r="D99" s="30" t="n">
        <x:v>0.0033202064316398437</x:v>
      </x:c>
      <x:c r="E99" s="25" t="n">
        <x:v>9</x:v>
      </x:c>
      <x:c r="F99" s="25" t="str">
        <x:v>low_le_10pct</x:v>
      </x:c>
      <x:c r="G99" s="25" t="str">
        <x:v>How many observation of client's social surroundings defaulted on 60 (days past due) DPD</x:v>
      </x:c>
    </x:row>
    <x:row r="100" ht="19" customHeight="1">
      <x:c r="A100" s="25" t="str">
        <x:v>DAYS_LAST_PHONE_CHANGE</x:v>
      </x:c>
      <x:c r="B100" s="25" t="str">
        <x:v>float64</x:v>
      </x:c>
      <x:c r="C100" s="25" t="n">
        <x:v>1</x:v>
      </x:c>
      <x:c r="D100" s="30" t="n">
        <x:v>0.0000032519161916159095</x:v>
      </x:c>
      <x:c r="E100" s="25" t="n">
        <x:v>3773</x:v>
      </x:c>
      <x:c r="F100" s="25" t="str">
        <x:v>low_le_10pct</x:v>
      </x:c>
      <x:c r="G100" s="25" t="str">
        <x:v>How many days before application did client change phone</x:v>
      </x:c>
    </x:row>
    <x:row r="101" ht="19" customHeight="1">
      <x:c r="A101" s="25" t="str">
        <x:v>FLAG_DOCUMENT_2</x:v>
      </x:c>
      <x:c r="B101" s="25" t="str">
        <x:v>int64</x:v>
      </x:c>
      <x:c r="C101" s="25" t="n">
        <x:v>0</x:v>
      </x:c>
      <x:c r="D101" s="30" t="n">
        <x:v>0</x:v>
      </x:c>
      <x:c r="E101" s="25" t="n">
        <x:v>2</x:v>
      </x:c>
      <x:c r="F101" s="25" t="str">
        <x:v>low_le_10pct</x:v>
      </x:c>
      <x:c r="G101" s="25" t="str">
        <x:v>Did client provide document 2</x:v>
      </x:c>
    </x:row>
    <x:row r="102" ht="19" customHeight="1">
      <x:c r="A102" s="25" t="str">
        <x:v>FLAG_DOCUMENT_3</x:v>
      </x:c>
      <x:c r="B102" s="25" t="str">
        <x:v>int64</x:v>
      </x:c>
      <x:c r="C102" s="25" t="n">
        <x:v>0</x:v>
      </x:c>
      <x:c r="D102" s="30" t="n">
        <x:v>0</x:v>
      </x:c>
      <x:c r="E102" s="25" t="n">
        <x:v>2</x:v>
      </x:c>
      <x:c r="F102" s="25" t="str">
        <x:v>low_le_10pct</x:v>
      </x:c>
      <x:c r="G102" s="25" t="str">
        <x:v>Did client provide document 3</x:v>
      </x:c>
    </x:row>
    <x:row r="103" ht="19" customHeight="1">
      <x:c r="A103" s="25" t="str">
        <x:v>FLAG_DOCUMENT_4</x:v>
      </x:c>
      <x:c r="B103" s="25" t="str">
        <x:v>int64</x:v>
      </x:c>
      <x:c r="C103" s="25" t="n">
        <x:v>0</x:v>
      </x:c>
      <x:c r="D103" s="30" t="n">
        <x:v>0</x:v>
      </x:c>
      <x:c r="E103" s="25" t="n">
        <x:v>2</x:v>
      </x:c>
      <x:c r="F103" s="25" t="str">
        <x:v>low_le_10pct</x:v>
      </x:c>
      <x:c r="G103" s="25" t="str">
        <x:v>Did client provide document 4</x:v>
      </x:c>
    </x:row>
    <x:row r="104" ht="19" customHeight="1">
      <x:c r="A104" s="25" t="str">
        <x:v>FLAG_DOCUMENT_5</x:v>
      </x:c>
      <x:c r="B104" s="25" t="str">
        <x:v>int64</x:v>
      </x:c>
      <x:c r="C104" s="25" t="n">
        <x:v>0</x:v>
      </x:c>
      <x:c r="D104" s="30" t="n">
        <x:v>0</x:v>
      </x:c>
      <x:c r="E104" s="25" t="n">
        <x:v>2</x:v>
      </x:c>
      <x:c r="F104" s="25" t="str">
        <x:v>low_le_10pct</x:v>
      </x:c>
      <x:c r="G104" s="25" t="str">
        <x:v>Did client provide document 5</x:v>
      </x:c>
    </x:row>
    <x:row r="105" ht="19" customHeight="1">
      <x:c r="A105" s="25" t="str">
        <x:v>FLAG_DOCUMENT_6</x:v>
      </x:c>
      <x:c r="B105" s="25" t="str">
        <x:v>int64</x:v>
      </x:c>
      <x:c r="C105" s="25" t="n">
        <x:v>0</x:v>
      </x:c>
      <x:c r="D105" s="30" t="n">
        <x:v>0</x:v>
      </x:c>
      <x:c r="E105" s="25" t="n">
        <x:v>2</x:v>
      </x:c>
      <x:c r="F105" s="25" t="str">
        <x:v>low_le_10pct</x:v>
      </x:c>
      <x:c r="G105" s="25" t="str">
        <x:v>Did client provide document 6</x:v>
      </x:c>
    </x:row>
    <x:row r="106" ht="19" customHeight="1">
      <x:c r="A106" s="25" t="str">
        <x:v>FLAG_DOCUMENT_7</x:v>
      </x:c>
      <x:c r="B106" s="25" t="str">
        <x:v>int64</x:v>
      </x:c>
      <x:c r="C106" s="25" t="n">
        <x:v>0</x:v>
      </x:c>
      <x:c r="D106" s="30" t="n">
        <x:v>0</x:v>
      </x:c>
      <x:c r="E106" s="25" t="n">
        <x:v>2</x:v>
      </x:c>
      <x:c r="F106" s="25" t="str">
        <x:v>low_le_10pct</x:v>
      </x:c>
      <x:c r="G106" s="25" t="str">
        <x:v>Did client provide document 7</x:v>
      </x:c>
    </x:row>
    <x:row r="107" ht="19" customHeight="1">
      <x:c r="A107" s="25" t="str">
        <x:v>FLAG_DOCUMENT_8</x:v>
      </x:c>
      <x:c r="B107" s="25" t="str">
        <x:v>int64</x:v>
      </x:c>
      <x:c r="C107" s="25" t="n">
        <x:v>0</x:v>
      </x:c>
      <x:c r="D107" s="30" t="n">
        <x:v>0</x:v>
      </x:c>
      <x:c r="E107" s="25" t="n">
        <x:v>2</x:v>
      </x:c>
      <x:c r="F107" s="25" t="str">
        <x:v>low_le_10pct</x:v>
      </x:c>
      <x:c r="G107" s="25" t="str">
        <x:v>Did client provide document 8</x:v>
      </x:c>
    </x:row>
    <x:row r="108" ht="19" customHeight="1">
      <x:c r="A108" s="25" t="str">
        <x:v>FLAG_DOCUMENT_9</x:v>
      </x:c>
      <x:c r="B108" s="25" t="str">
        <x:v>int64</x:v>
      </x:c>
      <x:c r="C108" s="25" t="n">
        <x:v>0</x:v>
      </x:c>
      <x:c r="D108" s="30" t="n">
        <x:v>0</x:v>
      </x:c>
      <x:c r="E108" s="25" t="n">
        <x:v>2</x:v>
      </x:c>
      <x:c r="F108" s="25" t="str">
        <x:v>low_le_10pct</x:v>
      </x:c>
      <x:c r="G108" s="25" t="str">
        <x:v>Did client provide document 9</x:v>
      </x:c>
    </x:row>
    <x:row r="109" ht="19" customHeight="1">
      <x:c r="A109" s="25" t="str">
        <x:v>FLAG_DOCUMENT_10</x:v>
      </x:c>
      <x:c r="B109" s="25" t="str">
        <x:v>int64</x:v>
      </x:c>
      <x:c r="C109" s="25" t="n">
        <x:v>0</x:v>
      </x:c>
      <x:c r="D109" s="30" t="n">
        <x:v>0</x:v>
      </x:c>
      <x:c r="E109" s="25" t="n">
        <x:v>2</x:v>
      </x:c>
      <x:c r="F109" s="25" t="str">
        <x:v>low_le_10pct</x:v>
      </x:c>
      <x:c r="G109" s="25" t="str">
        <x:v>Did client provide document 10</x:v>
      </x:c>
    </x:row>
    <x:row r="110" ht="19" customHeight="1">
      <x:c r="A110" s="25" t="str">
        <x:v>FLAG_DOCUMENT_11</x:v>
      </x:c>
      <x:c r="B110" s="25" t="str">
        <x:v>int64</x:v>
      </x:c>
      <x:c r="C110" s="25" t="n">
        <x:v>0</x:v>
      </x:c>
      <x:c r="D110" s="30" t="n">
        <x:v>0</x:v>
      </x:c>
      <x:c r="E110" s="25" t="n">
        <x:v>2</x:v>
      </x:c>
      <x:c r="F110" s="25" t="str">
        <x:v>low_le_10pct</x:v>
      </x:c>
      <x:c r="G110" s="25" t="str">
        <x:v>Did client provide document 11</x:v>
      </x:c>
    </x:row>
    <x:row r="111" ht="19" customHeight="1">
      <x:c r="A111" s="25" t="str">
        <x:v>FLAG_DOCUMENT_12</x:v>
      </x:c>
      <x:c r="B111" s="25" t="str">
        <x:v>int64</x:v>
      </x:c>
      <x:c r="C111" s="25" t="n">
        <x:v>0</x:v>
      </x:c>
      <x:c r="D111" s="30" t="n">
        <x:v>0</x:v>
      </x:c>
      <x:c r="E111" s="25" t="n">
        <x:v>2</x:v>
      </x:c>
      <x:c r="F111" s="25" t="str">
        <x:v>low_le_10pct</x:v>
      </x:c>
      <x:c r="G111" s="25" t="str">
        <x:v>Did client provide document 12</x:v>
      </x:c>
    </x:row>
    <x:row r="112" ht="19" customHeight="1">
      <x:c r="A112" s="25" t="str">
        <x:v>FLAG_DOCUMENT_13</x:v>
      </x:c>
      <x:c r="B112" s="25" t="str">
        <x:v>int64</x:v>
      </x:c>
      <x:c r="C112" s="25" t="n">
        <x:v>0</x:v>
      </x:c>
      <x:c r="D112" s="30" t="n">
        <x:v>0</x:v>
      </x:c>
      <x:c r="E112" s="25" t="n">
        <x:v>2</x:v>
      </x:c>
      <x:c r="F112" s="25" t="str">
        <x:v>low_le_10pct</x:v>
      </x:c>
      <x:c r="G112" s="25" t="str">
        <x:v>Did client provide document 13</x:v>
      </x:c>
    </x:row>
    <x:row r="113" ht="19" customHeight="1">
      <x:c r="A113" s="25" t="str">
        <x:v>FLAG_DOCUMENT_14</x:v>
      </x:c>
      <x:c r="B113" s="25" t="str">
        <x:v>int64</x:v>
      </x:c>
      <x:c r="C113" s="25" t="n">
        <x:v>0</x:v>
      </x:c>
      <x:c r="D113" s="30" t="n">
        <x:v>0</x:v>
      </x:c>
      <x:c r="E113" s="25" t="n">
        <x:v>2</x:v>
      </x:c>
      <x:c r="F113" s="25" t="str">
        <x:v>low_le_10pct</x:v>
      </x:c>
      <x:c r="G113" s="25" t="str">
        <x:v>Did client provide document 14</x:v>
      </x:c>
    </x:row>
    <x:row r="114" ht="19" customHeight="1">
      <x:c r="A114" s="25" t="str">
        <x:v>FLAG_DOCUMENT_15</x:v>
      </x:c>
      <x:c r="B114" s="25" t="str">
        <x:v>int64</x:v>
      </x:c>
      <x:c r="C114" s="25" t="n">
        <x:v>0</x:v>
      </x:c>
      <x:c r="D114" s="30" t="n">
        <x:v>0</x:v>
      </x:c>
      <x:c r="E114" s="25" t="n">
        <x:v>2</x:v>
      </x:c>
      <x:c r="F114" s="25" t="str">
        <x:v>low_le_10pct</x:v>
      </x:c>
      <x:c r="G114" s="25" t="str">
        <x:v>Did client provide document 15</x:v>
      </x:c>
    </x:row>
    <x:row r="115" ht="19" customHeight="1">
      <x:c r="A115" s="25" t="str">
        <x:v>FLAG_DOCUMENT_16</x:v>
      </x:c>
      <x:c r="B115" s="25" t="str">
        <x:v>int64</x:v>
      </x:c>
      <x:c r="C115" s="25" t="n">
        <x:v>0</x:v>
      </x:c>
      <x:c r="D115" s="30" t="n">
        <x:v>0</x:v>
      </x:c>
      <x:c r="E115" s="25" t="n">
        <x:v>2</x:v>
      </x:c>
      <x:c r="F115" s="25" t="str">
        <x:v>low_le_10pct</x:v>
      </x:c>
      <x:c r="G115" s="25" t="str">
        <x:v>Did client provide document 16</x:v>
      </x:c>
    </x:row>
    <x:row r="116" ht="19" customHeight="1">
      <x:c r="A116" s="25" t="str">
        <x:v>FLAG_DOCUMENT_17</x:v>
      </x:c>
      <x:c r="B116" s="25" t="str">
        <x:v>int64</x:v>
      </x:c>
      <x:c r="C116" s="25" t="n">
        <x:v>0</x:v>
      </x:c>
      <x:c r="D116" s="30" t="n">
        <x:v>0</x:v>
      </x:c>
      <x:c r="E116" s="25" t="n">
        <x:v>2</x:v>
      </x:c>
      <x:c r="F116" s="25" t="str">
        <x:v>low_le_10pct</x:v>
      </x:c>
      <x:c r="G116" s="25" t="str">
        <x:v>Did client provide document 17</x:v>
      </x:c>
    </x:row>
    <x:row r="117" ht="19" customHeight="1">
      <x:c r="A117" s="25" t="str">
        <x:v>FLAG_DOCUMENT_18</x:v>
      </x:c>
      <x:c r="B117" s="25" t="str">
        <x:v>int64</x:v>
      </x:c>
      <x:c r="C117" s="25" t="n">
        <x:v>0</x:v>
      </x:c>
      <x:c r="D117" s="30" t="n">
        <x:v>0</x:v>
      </x:c>
      <x:c r="E117" s="25" t="n">
        <x:v>2</x:v>
      </x:c>
      <x:c r="F117" s="25" t="str">
        <x:v>low_le_10pct</x:v>
      </x:c>
      <x:c r="G117" s="25" t="str">
        <x:v>Did client provide document 18</x:v>
      </x:c>
    </x:row>
    <x:row r="118" ht="19" customHeight="1">
      <x:c r="A118" s="25" t="str">
        <x:v>FLAG_DOCUMENT_19</x:v>
      </x:c>
      <x:c r="B118" s="25" t="str">
        <x:v>int64</x:v>
      </x:c>
      <x:c r="C118" s="25" t="n">
        <x:v>0</x:v>
      </x:c>
      <x:c r="D118" s="30" t="n">
        <x:v>0</x:v>
      </x:c>
      <x:c r="E118" s="25" t="n">
        <x:v>2</x:v>
      </x:c>
      <x:c r="F118" s="25" t="str">
        <x:v>low_le_10pct</x:v>
      </x:c>
      <x:c r="G118" s="25" t="str">
        <x:v>Did client provide document 19</x:v>
      </x:c>
    </x:row>
    <x:row r="119" ht="19" customHeight="1">
      <x:c r="A119" s="25" t="str">
        <x:v>FLAG_DOCUMENT_20</x:v>
      </x:c>
      <x:c r="B119" s="25" t="str">
        <x:v>int64</x:v>
      </x:c>
      <x:c r="C119" s="25" t="n">
        <x:v>0</x:v>
      </x:c>
      <x:c r="D119" s="30" t="n">
        <x:v>0</x:v>
      </x:c>
      <x:c r="E119" s="25" t="n">
        <x:v>2</x:v>
      </x:c>
      <x:c r="F119" s="25" t="str">
        <x:v>low_le_10pct</x:v>
      </x:c>
      <x:c r="G119" s="25" t="str">
        <x:v>Did client provide document 20</x:v>
      </x:c>
    </x:row>
    <x:row r="120" ht="19" customHeight="1">
      <x:c r="A120" s="25" t="str">
        <x:v>FLAG_DOCUMENT_21</x:v>
      </x:c>
      <x:c r="B120" s="25" t="str">
        <x:v>int64</x:v>
      </x:c>
      <x:c r="C120" s="25" t="n">
        <x:v>0</x:v>
      </x:c>
      <x:c r="D120" s="30" t="n">
        <x:v>0</x:v>
      </x:c>
      <x:c r="E120" s="25" t="n">
        <x:v>2</x:v>
      </x:c>
      <x:c r="F120" s="25" t="str">
        <x:v>low_le_10pct</x:v>
      </x:c>
      <x:c r="G120" s="25" t="str">
        <x:v>Did client provide document 21</x:v>
      </x:c>
    </x:row>
    <x:row r="121" ht="19" customHeight="1">
      <x:c r="A121" s="25" t="str">
        <x:v>AMT_REQ_CREDIT_BUREAU_HOUR</x:v>
      </x:c>
      <x:c r="B121" s="25" t="str">
        <x:v>float64</x:v>
      </x:c>
      <x:c r="C121" s="25" t="n">
        <x:v>41519</x:v>
      </x:c>
      <x:c r="D121" s="30" t="n">
        <x:v>0.13501630835970097</x:v>
      </x:c>
      <x:c r="E121" s="25" t="n">
        <x:v>5</x:v>
      </x:c>
      <x:c r="F121" s="25" t="str">
        <x:v>mid_le_30pct</x:v>
      </x:c>
      <x:c r="G121" s="25" t="str">
        <x:v>Number of enquiries to Credit Bureau about the client one hour before application</x:v>
      </x:c>
    </x:row>
    <x:row r="122" ht="19" customHeight="1">
      <x:c r="A122" s="25" t="str">
        <x:v>AMT_REQ_CREDIT_BUREAU_DAY</x:v>
      </x:c>
      <x:c r="B122" s="25" t="str">
        <x:v>float64</x:v>
      </x:c>
      <x:c r="C122" s="25" t="n">
        <x:v>41519</x:v>
      </x:c>
      <x:c r="D122" s="30" t="n">
        <x:v>0.13501630835970097</x:v>
      </x:c>
      <x:c r="E122" s="25" t="n">
        <x:v>9</x:v>
      </x:c>
      <x:c r="F122" s="25" t="str">
        <x:v>mid_le_30pct</x:v>
      </x:c>
      <x:c r="G122" s="25" t="str">
        <x:v>Number of enquiries to Credit Bureau about the client one day before application (excluding one hour before application)</x:v>
      </x:c>
    </x:row>
    <x:row r="123" ht="19" customHeight="1">
      <x:c r="A123" s="25" t="str">
        <x:v>AMT_REQ_CREDIT_BUREAU_WEEK</x:v>
      </x:c>
      <x:c r="B123" s="25" t="str">
        <x:v>float64</x:v>
      </x:c>
      <x:c r="C123" s="25" t="n">
        <x:v>41519</x:v>
      </x:c>
      <x:c r="D123" s="30" t="n">
        <x:v>0.13501630835970097</x:v>
      </x:c>
      <x:c r="E123" s="25" t="n">
        <x:v>9</x:v>
      </x:c>
      <x:c r="F123" s="25" t="str">
        <x:v>mid_le_30pct</x:v>
      </x:c>
      <x:c r="G123" s="25" t="str">
        <x:v>Number of enquiries to Credit Bureau about the client one week before application (excluding one day before application)</x:v>
      </x:c>
    </x:row>
    <x:row r="124" ht="19" customHeight="1">
      <x:c r="A124" s="25" t="str">
        <x:v>AMT_REQ_CREDIT_BUREAU_MON</x:v>
      </x:c>
      <x:c r="B124" s="25" t="str">
        <x:v>float64</x:v>
      </x:c>
      <x:c r="C124" s="25" t="n">
        <x:v>41519</x:v>
      </x:c>
      <x:c r="D124" s="30" t="n">
        <x:v>0.13501630835970097</x:v>
      </x:c>
      <x:c r="E124" s="25" t="n">
        <x:v>24</x:v>
      </x:c>
      <x:c r="F124" s="25" t="str">
        <x:v>mid_le_30pct</x:v>
      </x:c>
      <x:c r="G124" s="25" t="str">
        <x:v>Number of enquiries to Credit Bureau about the client one month before application (excluding one week before application)</x:v>
      </x:c>
    </x:row>
    <x:row r="125" ht="19" customHeight="1">
      <x:c r="A125" s="25" t="str">
        <x:v>AMT_REQ_CREDIT_BUREAU_QRT</x:v>
      </x:c>
      <x:c r="B125" s="25" t="str">
        <x:v>float64</x:v>
      </x:c>
      <x:c r="C125" s="25" t="n">
        <x:v>41519</x:v>
      </x:c>
      <x:c r="D125" s="30" t="n">
        <x:v>0.13501630835970097</x:v>
      </x:c>
      <x:c r="E125" s="25" t="n">
        <x:v>11</x:v>
      </x:c>
      <x:c r="F125" s="25" t="str">
        <x:v>mid_le_30pct</x:v>
      </x:c>
      <x:c r="G125" s="25" t="str">
        <x:v>Number of enquiries to Credit Bureau about the client 3 month before application (excluding one month before application)</x:v>
      </x:c>
    </x:row>
    <x:row r="126" ht="19" customHeight="1">
      <x:c r="A126" s="25" t="str">
        <x:v>AMT_REQ_CREDIT_BUREAU_YEAR</x:v>
      </x:c>
      <x:c r="B126" s="25" t="str">
        <x:v>float64</x:v>
      </x:c>
      <x:c r="C126" s="25" t="n">
        <x:v>41519</x:v>
      </x:c>
      <x:c r="D126" s="30" t="n">
        <x:v>0.13501630835970097</x:v>
      </x:c>
      <x:c r="E126" s="25" t="n">
        <x:v>25</x:v>
      </x:c>
      <x:c r="F126" s="25" t="str">
        <x:v>mid_le_30pct</x:v>
      </x:c>
      <x:c r="G126" s="25" t="str">
        <x:v>Number of enquiries to Credit Bureau about the client one day year (excluding last 3 months before application)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8586ea0b89c4f87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7" customHeight="1">
      <x:c r="A1" s="12" t="str">
        <x:v>阶段一交叉 | 固定组合的回顾确认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 ht="32" customHeight="1">
      <x:c r="A2" s="15" t="str">
        <x:v>来源：outputs/phase1/signals_holdout_check.csv；新三维业务组合；不沿用旧双评分结果</x:v>
      </x:c>
      <x:c r="B2" s="15"/>
      <x:c r="C2" s="15"/>
      <x:c r="D2" s="15"/>
      <x:c r="E2" s="15"/>
      <x:c r="F2" s="15"/>
      <x:c r="G2" s="15"/>
      <x:c r="H2" s="15"/>
      <x:c r="I2" s="15"/>
      <x:c r="J2" s="15"/>
    </x:row>
    <x:row r="4" ht="42" customHeight="1">
      <x:c r="A4" s="20" t="str">
        <x:v>EXT_SOURCE_2</x:v>
      </x:c>
      <x:c r="B4" s="20" t="str">
        <x:v>EMPLOYMENT_YEARS</x:v>
      </x:c>
      <x:c r="C4" s="20" t="str">
        <x:v>CREDIT_INCOME_RATIO</x:v>
      </x:c>
      <x:c r="D4" s="20" t="str">
        <x:v>n</x:v>
      </x:c>
      <x:c r="E4" s="20" t="str">
        <x:v>positives</x:v>
      </x:c>
      <x:c r="F4" s="20" t="str">
        <x:v>target_rate</x:v>
      </x:c>
      <x:c r="G4" s="20" t="str">
        <x:v>ci_lower</x:v>
      </x:c>
      <x:c r="H4" s="20" t="str">
        <x:v>ci_upper</x:v>
      </x:c>
      <x:c r="I4" s="20" t="str">
        <x:v>risk_lift</x:v>
      </x:c>
      <x:c r="J4" s="20" t="str">
        <x:v>candidate</x:v>
      </x:c>
    </x:row>
    <x:row r="5" ht="19" customHeight="1">
      <x:c r="A5" s="25" t="str">
        <x:v>Low</x:v>
      </x:c>
      <x:c r="B5" s="25" t="str">
        <x:v>Low</x:v>
      </x:c>
      <x:c r="C5" s="25" t="str">
        <x:v>Middle</x:v>
      </x:c>
      <x:c r="D5" s="28" t="n">
        <x:v>2840</x:v>
      </x:c>
      <x:c r="E5" s="28" t="n">
        <x:v>580</x:v>
      </x:c>
      <x:c r="F5" s="30" t="n">
        <x:v>0.20422535211267606</x:v>
      </x:c>
      <x:c r="G5" s="25" t="n">
        <x:v>0.1898030103825447</x:v>
      </x:c>
      <x:c r="H5" s="25" t="n">
        <x:v>0.219446758169365</x:v>
      </x:c>
      <x:c r="I5" s="25" t="n">
        <x:v>2.529619445999304</x:v>
      </x:c>
      <x:c r="J5" s="35" t="b">
        <x:v>1</x:v>
      </x:c>
    </x:row>
    <x:row r="6" ht="19" customHeight="1">
      <x:c r="A6" s="25" t="str">
        <x:v>Low</x:v>
      </x:c>
      <x:c r="B6" s="25" t="str">
        <x:v>Middle</x:v>
      </x:c>
      <x:c r="C6" s="25" t="str">
        <x:v>Middle</x:v>
      </x:c>
      <x:c r="D6" s="28" t="n">
        <x:v>4734</x:v>
      </x:c>
      <x:c r="E6" s="28" t="n">
        <x:v>846</x:v>
      </x:c>
      <x:c r="F6" s="30" t="n">
        <x:v>0.17870722433460076</x:v>
      </x:c>
      <x:c r="G6" s="25" t="n">
        <x:v>0.16805579689959696</x:v>
      </x:c>
      <x:c r="H6" s="25" t="n">
        <x:v>0.18987966243567797</x:v>
      </x:c>
      <x:c r="I6" s="25" t="n">
        <x:v>2.2135413901402066</x:v>
      </x:c>
      <x:c r="J6" s="35" t="b">
        <x:v>1</x:v>
      </x:c>
    </x:row>
    <x:row r="7" ht="19" customHeight="1">
      <x:c r="A7" s="25" t="str">
        <x:v>Low</x:v>
      </x:c>
      <x:c r="B7" s="25" t="str">
        <x:v>Low</x:v>
      </x:c>
      <x:c r="C7" s="25" t="str">
        <x:v>Low</x:v>
      </x:c>
      <x:c r="D7" s="28" t="n">
        <x:v>1492</x:v>
      </x:c>
      <x:c r="E7" s="28" t="n">
        <x:v>249</x:v>
      </x:c>
      <x:c r="F7" s="30" t="n">
        <x:v>0.16689008042895442</x:v>
      </x:c>
      <x:c r="G7" s="25" t="n">
        <x:v>0.148830103187974</x:v>
      </x:c>
      <x:c r="H7" s="25" t="n">
        <x:v>0.18666097165918305</x:v>
      </x:c>
      <x:c r="I7" s="25" t="n">
        <x:v>2.067169371628996</x:v>
      </x:c>
      <x:c r="J7" s="35" t="b">
        <x:v>1</x:v>
      </x:c>
    </x:row>
    <x:row r="8" ht="19" customHeight="1">
      <x:c r="A8" s="25" t="str">
        <x:v>Low</x:v>
      </x:c>
      <x:c r="B8" s="25" t="str">
        <x:v>Low</x:v>
      </x:c>
      <x:c r="C8" s="25" t="str">
        <x:v>High</x:v>
      </x:c>
      <x:c r="D8" s="28" t="n">
        <x:v>1074</x:v>
      </x:c>
      <x:c r="E8" s="28" t="n">
        <x:v>194</x:v>
      </x:c>
      <x:c r="F8" s="30" t="n">
        <x:v>0.18063314711359404</x:v>
      </x:c>
      <x:c r="G8" s="25" t="n">
        <x:v>0.15877596517600073</x:v>
      </x:c>
      <x:c r="H8" s="25" t="n">
        <x:v>0.20476679485980476</x:v>
      </x:c>
      <x:c r="I8" s="25" t="n">
        <x:v>2.237396664046389</x:v>
      </x:c>
      <x:c r="J8" s="35" t="b">
        <x:v>1</x:v>
      </x:c>
    </x:row>
    <x:row r="9" ht="19" customHeight="1">
      <x:c r="A9" s="25" t="str">
        <x:v>Low</x:v>
      </x:c>
      <x:c r="B9" s="25" t="str">
        <x:v>Middle</x:v>
      </x:c>
      <x:c r="C9" s="25" t="str">
        <x:v>High</x:v>
      </x:c>
      <x:c r="D9" s="28" t="n">
        <x:v>2058</x:v>
      </x:c>
      <x:c r="E9" s="28" t="n">
        <x:v>282</x:v>
      </x:c>
      <x:c r="F9" s="30" t="n">
        <x:v>0.13702623906705538</x:v>
      </x:c>
      <x:c r="G9" s="25" t="n">
        <x:v>0.12284412451447854</x:v>
      </x:c>
      <x:c r="H9" s="25" t="n">
        <x:v>0.15256088123483882</x:v>
      </x:c>
      <x:c r="I9" s="25" t="n">
        <x:v>1.6972635148888464</x:v>
      </x:c>
      <x:c r="J9" s="35" t="b">
        <x:v>1</x:v>
      </x:c>
    </x:row>
    <x:row r="10" ht="19" customHeight="1">
      <x:c r="A10" s="25" t="str">
        <x:v>Low</x:v>
      </x:c>
      <x:c r="B10" s="25" t="str">
        <x:v>Middle</x:v>
      </x:c>
      <x:c r="C10" s="25" t="str">
        <x:v>Low</x:v>
      </x:c>
      <x:c r="D10" s="28" t="n">
        <x:v>2507</x:v>
      </x:c>
      <x:c r="E10" s="28" t="n">
        <x:v>360</x:v>
      </x:c>
      <x:c r="F10" s="30" t="n">
        <x:v>0.14359792580773834</x:v>
      </x:c>
      <x:c r="G10" s="25" t="n">
        <x:v>0.13041561383213424</x:v>
      </x:c>
      <x:c r="H10" s="25" t="n">
        <x:v>0.1578707916188383</x:v>
      </x:c>
      <x:c r="I10" s="25" t="n">
        <x:v>1.7786631374150232</x:v>
      </x:c>
      <x:c r="J10" s="35" t="b">
        <x:v>1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845ea3e9a19447d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27" customHeight="1">
      <x:c r="A1" s="12" t="str">
        <x:v>经济敏感性 | 假设情景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</x:row>
    <x:row r="2" ht="32" customHeight="1">
      <x:c r="A2" s="15" t="str">
        <x:v>来源：outputs/phase4/economic_sensitivity.csv；243条；不是实际ROI或场景发生概率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</x:row>
    <x:row r="4" ht="42" customHeight="1">
      <x:c r="A4" s="20" t="str">
        <x:v>strategy</x:v>
      </x:c>
      <x:c r="B4" s="20" t="str">
        <x:v>applications</x:v>
      </x:c>
      <x:c r="C4" s="20" t="str">
        <x:v>projected_approved_count</x:v>
      </x:c>
      <x:c r="D4" s="20" t="str">
        <x:v>review_count</x:v>
      </x:c>
      <x:c r="E4" s="20" t="str">
        <x:v>approved_exposure_cny_assumed</x:v>
      </x:c>
      <x:c r="F4" s="20" t="str">
        <x:v>interest_margin_cny_assumed</x:v>
      </x:c>
      <x:c r="G4" s="20" t="str">
        <x:v>proxy_loss_cny_assumed</x:v>
      </x:c>
      <x:c r="H4" s="20" t="str">
        <x:v>manual_cost_cny_assumed</x:v>
      </x:c>
      <x:c r="I4" s="20" t="str">
        <x:v>fixed_cost_cny_assumed</x:v>
      </x:c>
      <x:c r="J4" s="20" t="str">
        <x:v>net_value_cny_assumed</x:v>
      </x:c>
      <x:c r="K4" s="20" t="str">
        <x:v>proxy_loss_rate_on_exposure</x:v>
      </x:c>
      <x:c r="L4" s="20" t="str">
        <x:v>net_per_100m_approved_exposure</x:v>
      </x:c>
      <x:c r="M4" s="20" t="str">
        <x:v>lgd</x:v>
      </x:c>
      <x:c r="N4" s="20" t="str">
        <x:v>target_pd_multiplier</x:v>
      </x:c>
      <x:c r="O4" s="20" t="str">
        <x:v>manual_acceptance</x:v>
      </x:c>
      <x:c r="P4" s="20" t="str">
        <x:v>net_margin_rate</x:v>
      </x:c>
      <x:c r="Q4" s="20" t="str">
        <x:v>surrogate_net</x:v>
      </x:c>
      <x:c r="R4" s="20" t="str">
        <x:v>net_difference_to_surrogate</x:v>
      </x:c>
    </x:row>
    <x:row r="5" ht="19" customHeight="1">
      <x:c r="A5" s="30" t="str">
        <x:v>surrogate_rules</x:v>
      </x:c>
      <x:c r="B5" s="25" t="n">
        <x:v>10000</x:v>
      </x:c>
      <x:c r="C5" s="25" t="n">
        <x:v>3765.1483946495546</x:v>
      </x:c>
      <x:c r="D5" s="25" t="n">
        <x:v>6486.439612374531</x:v>
      </x:c>
      <x:c r="E5" s="25" t="n">
        <x:v>298677564.11646104</x:v>
      </x:c>
      <x:c r="F5" s="25" t="n">
        <x:v>11947102.56465844</x:v>
      </x:c>
      <x:c r="G5" s="25" t="n">
        <x:v>2528410.6922193076</x:v>
      </x:c>
      <x:c r="H5" s="25" t="n">
        <x:v>324321.9806187265</x:v>
      </x:c>
      <x:c r="I5" s="25" t="n">
        <x:v>0</x:v>
      </x:c>
      <x:c r="J5" s="25" t="n">
        <x:v>9094369.891820407</x:v>
      </x:c>
      <x:c r="K5" s="30" t="n">
        <x:v>0.008465351924570484</x:v>
      </x:c>
      <x:c r="L5" s="25" t="n">
        <x:v>3044878.8206516607</x:v>
      </x:c>
      <x:c r="M5" s="25" t="n">
        <x:v>0.3</x:v>
      </x:c>
      <x:c r="N5" s="25" t="n">
        <x:v>0.5</x:v>
      </x:c>
      <x:c r="O5" s="25" t="n">
        <x:v>0.4</x:v>
      </x:c>
      <x:c r="P5" s="30" t="n">
        <x:v>0.039999999999999994</x:v>
      </x:c>
      <x:c r="Q5" s="25" t="n">
        <x:v>9094369.891820407</x:v>
      </x:c>
      <x:c r="R5" s="25" t="n">
        <x:v>0</x:v>
      </x:c>
    </x:row>
    <x:row r="6" ht="19" customHeight="1">
      <x:c r="A6" s="30" t="str">
        <x:v>A_conservative</x:v>
      </x:c>
      <x:c r="B6" s="25" t="n">
        <x:v>10000</x:v>
      </x:c>
      <x:c r="C6" s="25" t="n">
        <x:v>5948.121490667072</x:v>
      </x:c>
      <x:c r="D6" s="25" t="n">
        <x:v>2479.2420924837947</x:v>
      </x:c>
      <x:c r="E6" s="25" t="n">
        <x:v>565061243.9569017</x:v>
      </x:c>
      <x:c r="F6" s="25" t="n">
        <x:v>22602449.758276064</x:v>
      </x:c>
      <x:c r="G6" s="25" t="n">
        <x:v>3290523.9881197563</x:v>
      </x:c>
      <x:c r="H6" s="25" t="n">
        <x:v>123962.10462418974</x:v>
      </x:c>
      <x:c r="I6" s="25" t="n">
        <x:v>50000</x:v>
      </x:c>
      <x:c r="J6" s="25" t="n">
        <x:v>19137963.66553212</x:v>
      </x:c>
      <x:c r="K6" s="30" t="n">
        <x:v>0.005823305036950528</x:v>
      </x:c>
      <x:c r="L6" s="25" t="n">
        <x:v>3386883.0804102733</x:v>
      </x:c>
      <x:c r="M6" s="25" t="n">
        <x:v>0.3</x:v>
      </x:c>
      <x:c r="N6" s="25" t="n">
        <x:v>0.5</x:v>
      </x:c>
      <x:c r="O6" s="25" t="n">
        <x:v>0.4</x:v>
      </x:c>
      <x:c r="P6" s="30" t="n">
        <x:v>0.039999999999999994</x:v>
      </x:c>
      <x:c r="Q6" s="25" t="n">
        <x:v>9094369.891820407</x:v>
      </x:c>
      <x:c r="R6" s="25" t="n">
        <x:v>10043593.773711713</x:v>
      </x:c>
    </x:row>
    <x:row r="7" ht="19" customHeight="1">
      <x:c r="A7" s="30" t="str">
        <x:v>B_balanced</x:v>
      </x:c>
      <x:c r="B7" s="25" t="n">
        <x:v>10000</x:v>
      </x:c>
      <x:c r="C7" s="25" t="n">
        <x:v>7554.577579291957</x:v>
      </x:c>
      <x:c r="D7" s="25" t="n">
        <x:v>1484.4884774643917</x:v>
      </x:c>
      <x:c r="E7" s="25" t="n">
        <x:v>737643896.1996229</x:v>
      </x:c>
      <x:c r="F7" s="25" t="n">
        <x:v>29505755.84798491</x:v>
      </x:c>
      <x:c r="G7" s="25" t="n">
        <x:v>5367572.137793482</x:v>
      </x:c>
      <x:c r="H7" s="25" t="n">
        <x:v>74224.42387321958</x:v>
      </x:c>
      <x:c r="I7" s="25" t="n">
        <x:v>50000</x:v>
      </x:c>
      <x:c r="J7" s="25" t="n">
        <x:v>24013959.28631821</x:v>
      </x:c>
      <x:c r="K7" s="30" t="n">
        <x:v>0.007276644144210335</x:v>
      </x:c>
      <x:c r="L7" s="25" t="n">
        <x:v>3255494.881749756</x:v>
      </x:c>
      <x:c r="M7" s="25" t="n">
        <x:v>0.3</x:v>
      </x:c>
      <x:c r="N7" s="25" t="n">
        <x:v>0.5</x:v>
      </x:c>
      <x:c r="O7" s="25" t="n">
        <x:v>0.4</x:v>
      </x:c>
      <x:c r="P7" s="30" t="n">
        <x:v>0.039999999999999994</x:v>
      </x:c>
      <x:c r="Q7" s="25" t="n">
        <x:v>9094369.891820407</x:v>
      </x:c>
      <x:c r="R7" s="25" t="n">
        <x:v>14919589.394497802</x:v>
      </x:c>
    </x:row>
    <x:row r="8" ht="19" customHeight="1">
      <x:c r="A8" s="30" t="str">
        <x:v>surrogate_rules</x:v>
      </x:c>
      <x:c r="B8" s="25" t="n">
        <x:v>10000</x:v>
      </x:c>
      <x:c r="C8" s="25" t="n">
        <x:v>3765.1483946495546</x:v>
      </x:c>
      <x:c r="D8" s="25" t="n">
        <x:v>6486.439612374531</x:v>
      </x:c>
      <x:c r="E8" s="25" t="n">
        <x:v>298677564.11646104</x:v>
      </x:c>
      <x:c r="F8" s="25" t="n">
        <x:v>20907429.488152273</x:v>
      </x:c>
      <x:c r="G8" s="25" t="n">
        <x:v>2528410.6922193076</x:v>
      </x:c>
      <x:c r="H8" s="25" t="n">
        <x:v>324321.9806187265</x:v>
      </x:c>
      <x:c r="I8" s="25" t="n">
        <x:v>0</x:v>
      </x:c>
      <x:c r="J8" s="25" t="n">
        <x:v>18054696.815314237</x:v>
      </x:c>
      <x:c r="K8" s="30" t="n">
        <x:v>0.008465351924570484</x:v>
      </x:c>
      <x:c r="L8" s="25" t="n">
        <x:v>6044878.820651661</x:v>
      </x:c>
      <x:c r="M8" s="25" t="n">
        <x:v>0.3</x:v>
      </x:c>
      <x:c r="N8" s="25" t="n">
        <x:v>0.5</x:v>
      </x:c>
      <x:c r="O8" s="25" t="n">
        <x:v>0.4</x:v>
      </x:c>
      <x:c r="P8" s="30" t="n">
        <x:v>0.07</x:v>
      </x:c>
      <x:c r="Q8" s="25" t="n">
        <x:v>18054696.815314237</x:v>
      </x:c>
      <x:c r="R8" s="25" t="n">
        <x:v>0</x:v>
      </x:c>
    </x:row>
    <x:row r="9" ht="19" customHeight="1">
      <x:c r="A9" s="30" t="str">
        <x:v>A_conservative</x:v>
      </x:c>
      <x:c r="B9" s="25" t="n">
        <x:v>10000</x:v>
      </x:c>
      <x:c r="C9" s="25" t="n">
        <x:v>5948.121490667072</x:v>
      </x:c>
      <x:c r="D9" s="25" t="n">
        <x:v>2479.2420924837947</x:v>
      </x:c>
      <x:c r="E9" s="25" t="n">
        <x:v>565061243.9569017</x:v>
      </x:c>
      <x:c r="F9" s="25" t="n">
        <x:v>39554287.076983124</x:v>
      </x:c>
      <x:c r="G9" s="25" t="n">
        <x:v>3290523.9881197563</x:v>
      </x:c>
      <x:c r="H9" s="25" t="n">
        <x:v>123962.10462418974</x:v>
      </x:c>
      <x:c r="I9" s="25" t="n">
        <x:v>50000</x:v>
      </x:c>
      <x:c r="J9" s="25" t="n">
        <x:v>36089800.984239176</x:v>
      </x:c>
      <x:c r="K9" s="30" t="n">
        <x:v>0.005823305036950528</x:v>
      </x:c>
      <x:c r="L9" s="25" t="n">
        <x:v>6386883.080410275</x:v>
      </x:c>
      <x:c r="M9" s="25" t="n">
        <x:v>0.3</x:v>
      </x:c>
      <x:c r="N9" s="25" t="n">
        <x:v>0.5</x:v>
      </x:c>
      <x:c r="O9" s="25" t="n">
        <x:v>0.4</x:v>
      </x:c>
      <x:c r="P9" s="30" t="n">
        <x:v>0.07</x:v>
      </x:c>
      <x:c r="Q9" s="25" t="n">
        <x:v>18054696.815314237</x:v>
      </x:c>
      <x:c r="R9" s="25" t="n">
        <x:v>18035104.16892494</x:v>
      </x:c>
    </x:row>
    <x:row r="10" ht="19" customHeight="1">
      <x:c r="A10" s="30" t="str">
        <x:v>B_balanced</x:v>
      </x:c>
      <x:c r="B10" s="25" t="n">
        <x:v>10000</x:v>
      </x:c>
      <x:c r="C10" s="25" t="n">
        <x:v>7554.577579291957</x:v>
      </x:c>
      <x:c r="D10" s="25" t="n">
        <x:v>1484.4884774643917</x:v>
      </x:c>
      <x:c r="E10" s="25" t="n">
        <x:v>737643896.1996229</x:v>
      </x:c>
      <x:c r="F10" s="25" t="n">
        <x:v>51635072.73397361</x:v>
      </x:c>
      <x:c r="G10" s="25" t="n">
        <x:v>5367572.137793482</x:v>
      </x:c>
      <x:c r="H10" s="25" t="n">
        <x:v>74224.42387321958</x:v>
      </x:c>
      <x:c r="I10" s="25" t="n">
        <x:v>50000</x:v>
      </x:c>
      <x:c r="J10" s="25" t="n">
        <x:v>46143276.17230691</x:v>
      </x:c>
      <x:c r="K10" s="30" t="n">
        <x:v>0.007276644144210335</x:v>
      </x:c>
      <x:c r="L10" s="25" t="n">
        <x:v>6255494.8817497585</x:v>
      </x:c>
      <x:c r="M10" s="25" t="n">
        <x:v>0.3</x:v>
      </x:c>
      <x:c r="N10" s="25" t="n">
        <x:v>0.5</x:v>
      </x:c>
      <x:c r="O10" s="25" t="n">
        <x:v>0.4</x:v>
      </x:c>
      <x:c r="P10" s="30" t="n">
        <x:v>0.07</x:v>
      </x:c>
      <x:c r="Q10" s="25" t="n">
        <x:v>18054696.815314237</x:v>
      </x:c>
      <x:c r="R10" s="25" t="n">
        <x:v>28088579.356992673</x:v>
      </x:c>
    </x:row>
    <x:row r="11" ht="19" customHeight="1">
      <x:c r="A11" s="30" t="str">
        <x:v>surrogate_rules</x:v>
      </x:c>
      <x:c r="B11" s="25" t="n">
        <x:v>10000</x:v>
      </x:c>
      <x:c r="C11" s="25" t="n">
        <x:v>3765.1483946495546</x:v>
      </x:c>
      <x:c r="D11" s="25" t="n">
        <x:v>6486.439612374531</x:v>
      </x:c>
      <x:c r="E11" s="25" t="n">
        <x:v>298677564.11646104</x:v>
      </x:c>
      <x:c r="F11" s="25" t="n">
        <x:v>29867756.41164611</x:v>
      </x:c>
      <x:c r="G11" s="25" t="n">
        <x:v>2528410.6922193076</x:v>
      </x:c>
      <x:c r="H11" s="25" t="n">
        <x:v>324321.9806187265</x:v>
      </x:c>
      <x:c r="I11" s="25" t="n">
        <x:v>0</x:v>
      </x:c>
      <x:c r="J11" s="25" t="n">
        <x:v>27015023.738808077</x:v>
      </x:c>
      <x:c r="K11" s="30" t="n">
        <x:v>0.008465351924570484</x:v>
      </x:c>
      <x:c r="L11" s="25" t="n">
        <x:v>9044878.820651663</x:v>
      </x:c>
      <x:c r="M11" s="25" t="n">
        <x:v>0.3</x:v>
      </x:c>
      <x:c r="N11" s="25" t="n">
        <x:v>0.5</x:v>
      </x:c>
      <x:c r="O11" s="25" t="n">
        <x:v>0.4</x:v>
      </x:c>
      <x:c r="P11" s="30" t="n">
        <x:v>0.10000000000000002</x:v>
      </x:c>
      <x:c r="Q11" s="25" t="n">
        <x:v>27015023.738808077</x:v>
      </x:c>
      <x:c r="R11" s="25" t="n">
        <x:v>0</x:v>
      </x:c>
    </x:row>
    <x:row r="12" ht="19" customHeight="1">
      <x:c r="A12" s="30" t="str">
        <x:v>A_conservative</x:v>
      </x:c>
      <x:c r="B12" s="25" t="n">
        <x:v>10000</x:v>
      </x:c>
      <x:c r="C12" s="25" t="n">
        <x:v>5948.121490667072</x:v>
      </x:c>
      <x:c r="D12" s="25" t="n">
        <x:v>2479.2420924837947</x:v>
      </x:c>
      <x:c r="E12" s="25" t="n">
        <x:v>565061243.9569017</x:v>
      </x:c>
      <x:c r="F12" s="25" t="n">
        <x:v>56506124.39569018</x:v>
      </x:c>
      <x:c r="G12" s="25" t="n">
        <x:v>3290523.9881197563</x:v>
      </x:c>
      <x:c r="H12" s="25" t="n">
        <x:v>123962.10462418974</x:v>
      </x:c>
      <x:c r="I12" s="25" t="n">
        <x:v>50000</x:v>
      </x:c>
      <x:c r="J12" s="25" t="n">
        <x:v>53041638.30294623</x:v>
      </x:c>
      <x:c r="K12" s="30" t="n">
        <x:v>0.005823305036950528</x:v>
      </x:c>
      <x:c r="L12" s="25" t="n">
        <x:v>9386883.080410276</x:v>
      </x:c>
      <x:c r="M12" s="25" t="n">
        <x:v>0.3</x:v>
      </x:c>
      <x:c r="N12" s="25" t="n">
        <x:v>0.5</x:v>
      </x:c>
      <x:c r="O12" s="25" t="n">
        <x:v>0.4</x:v>
      </x:c>
      <x:c r="P12" s="30" t="n">
        <x:v>0.10000000000000002</x:v>
      </x:c>
      <x:c r="Q12" s="25" t="n">
        <x:v>27015023.738808077</x:v>
      </x:c>
      <x:c r="R12" s="25" t="n">
        <x:v>26026614.564138155</x:v>
      </x:c>
    </x:row>
    <x:row r="13" ht="19" customHeight="1">
      <x:c r="A13" s="30" t="str">
        <x:v>B_balanced</x:v>
      </x:c>
      <x:c r="B13" s="25" t="n">
        <x:v>10000</x:v>
      </x:c>
      <x:c r="C13" s="25" t="n">
        <x:v>7554.577579291957</x:v>
      </x:c>
      <x:c r="D13" s="25" t="n">
        <x:v>1484.4884774643917</x:v>
      </x:c>
      <x:c r="E13" s="25" t="n">
        <x:v>737643896.1996229</x:v>
      </x:c>
      <x:c r="F13" s="25" t="n">
        <x:v>73764389.6199623</x:v>
      </x:c>
      <x:c r="G13" s="25" t="n">
        <x:v>5367572.137793482</x:v>
      </x:c>
      <x:c r="H13" s="25" t="n">
        <x:v>74224.42387321958</x:v>
      </x:c>
      <x:c r="I13" s="25" t="n">
        <x:v>50000</x:v>
      </x:c>
      <x:c r="J13" s="25" t="n">
        <x:v>68272593.05829561</x:v>
      </x:c>
      <x:c r="K13" s="30" t="n">
        <x:v>0.007276644144210335</x:v>
      </x:c>
      <x:c r="L13" s="25" t="n">
        <x:v>9255494.88174976</x:v>
      </x:c>
      <x:c r="M13" s="25" t="n">
        <x:v>0.3</x:v>
      </x:c>
      <x:c r="N13" s="25" t="n">
        <x:v>0.5</x:v>
      </x:c>
      <x:c r="O13" s="25" t="n">
        <x:v>0.4</x:v>
      </x:c>
      <x:c r="P13" s="30" t="n">
        <x:v>0.10000000000000002</x:v>
      </x:c>
      <x:c r="Q13" s="25" t="n">
        <x:v>27015023.738808077</x:v>
      </x:c>
      <x:c r="R13" s="25" t="n">
        <x:v>41257569.31948753</x:v>
      </x:c>
    </x:row>
    <x:row r="14" ht="19" customHeight="1">
      <x:c r="A14" s="30" t="str">
        <x:v>surrogate_rules</x:v>
      </x:c>
      <x:c r="B14" s="25" t="n">
        <x:v>10000</x:v>
      </x:c>
      <x:c r="C14" s="25" t="n">
        <x:v>5062.43631712446</x:v>
      </x:c>
      <x:c r="D14" s="25" t="n">
        <x:v>6486.439612374531</x:v>
      </x:c>
      <x:c r="E14" s="25" t="n">
        <x:v>389487718.6897046</x:v>
      </x:c>
      <x:c r="F14" s="25" t="n">
        <x:v>15579508.747588182</x:v>
      </x:c>
      <x:c r="G14" s="25" t="n">
        <x:v>3437346.890107746</x:v>
      </x:c>
      <x:c r="H14" s="25" t="n">
        <x:v>324321.9806187265</x:v>
      </x:c>
      <x:c r="I14" s="25" t="n">
        <x:v>0</x:v>
      </x:c>
      <x:c r="J14" s="25" t="n">
        <x:v>11817839.87686171</x:v>
      </x:c>
      <x:c r="K14" s="30" t="n">
        <x:v>0.008825302378394623</x:v>
      </x:c>
      <x:c r="L14" s="25" t="n">
        <x:v>3034200.902821456</x:v>
      </x:c>
      <x:c r="M14" s="25" t="n">
        <x:v>0.3</x:v>
      </x:c>
      <x:c r="N14" s="25" t="n">
        <x:v>0.5</x:v>
      </x:c>
      <x:c r="O14" s="25" t="n">
        <x:v>0.6</x:v>
      </x:c>
      <x:c r="P14" s="30" t="n">
        <x:v>0.039999999999999994</x:v>
      </x:c>
      <x:c r="Q14" s="25" t="n">
        <x:v>11817839.87686171</x:v>
      </x:c>
      <x:c r="R14" s="25" t="n">
        <x:v>0</x:v>
      </x:c>
    </x:row>
    <x:row r="15" ht="19" customHeight="1">
      <x:c r="A15" s="30" t="str">
        <x:v>A_conservative</x:v>
      </x:c>
      <x:c r="B15" s="25" t="n">
        <x:v>10000</x:v>
      </x:c>
      <x:c r="C15" s="25" t="n">
        <x:v>6443.96990916383</x:v>
      </x:c>
      <x:c r="D15" s="25" t="n">
        <x:v>2479.2420924837947</x:v>
      </x:c>
      <x:c r="E15" s="25" t="n">
        <x:v>599770633.2516748</x:v>
      </x:c>
      <x:c r="F15" s="25" t="n">
        <x:v>23990825.330066986</x:v>
      </x:c>
      <x:c r="G15" s="25" t="n">
        <x:v>3698441.2599995662</x:v>
      </x:c>
      <x:c r="H15" s="25" t="n">
        <x:v>123962.10462418974</x:v>
      </x:c>
      <x:c r="I15" s="25" t="n">
        <x:v>50000</x:v>
      </x:c>
      <x:c r="J15" s="25" t="n">
        <x:v>20118421.96544323</x:v>
      </x:c>
      <x:c r="K15" s="30" t="n">
        <x:v>0.006166426055154375</x:v>
      </x:c>
      <x:c r="L15" s="25" t="n">
        <x:v>3354352.622496802</x:v>
      </x:c>
      <x:c r="M15" s="25" t="n">
        <x:v>0.3</x:v>
      </x:c>
      <x:c r="N15" s="25" t="n">
        <x:v>0.5</x:v>
      </x:c>
      <x:c r="O15" s="25" t="n">
        <x:v>0.6</x:v>
      </x:c>
      <x:c r="P15" s="30" t="n">
        <x:v>0.039999999999999994</x:v>
      </x:c>
      <x:c r="Q15" s="25" t="n">
        <x:v>11817839.87686171</x:v>
      </x:c>
      <x:c r="R15" s="25" t="n">
        <x:v>8300582.088581521</x:v>
      </x:c>
    </x:row>
    <x:row r="16" ht="19" customHeight="1">
      <x:c r="A16" s="30" t="str">
        <x:v>B_balanced</x:v>
      </x:c>
      <x:c r="B16" s="25" t="n">
        <x:v>10000</x:v>
      </x:c>
      <x:c r="C16" s="25" t="n">
        <x:v>7851.4752747848315</x:v>
      </x:c>
      <x:c r="D16" s="25" t="n">
        <x:v>1484.4884774643917</x:v>
      </x:c>
      <x:c r="E16" s="25" t="n">
        <x:v>758426734.8841242</x:v>
      </x:c>
      <x:c r="F16" s="25" t="n">
        <x:v>30337069.395364963</x:v>
      </x:c>
      <x:c r="G16" s="25" t="n">
        <x:v>5718126.0433151955</x:v>
      </x:c>
      <x:c r="H16" s="25" t="n">
        <x:v>74224.42387321958</x:v>
      </x:c>
      <x:c r="I16" s="25" t="n">
        <x:v>50000</x:v>
      </x:c>
      <x:c r="J16" s="25" t="n">
        <x:v>24494718.92817655</x:v>
      </x:c>
      <x:c r="K16" s="30" t="n">
        <x:v>0.007539457379741283</x:v>
      </x:c>
      <x:c r="L16" s="25" t="n">
        <x:v>3229675.036695398</x:v>
      </x:c>
      <x:c r="M16" s="25" t="n">
        <x:v>0.3</x:v>
      </x:c>
      <x:c r="N16" s="25" t="n">
        <x:v>0.5</x:v>
      </x:c>
      <x:c r="O16" s="25" t="n">
        <x:v>0.6</x:v>
      </x:c>
      <x:c r="P16" s="30" t="n">
        <x:v>0.039999999999999994</x:v>
      </x:c>
      <x:c r="Q16" s="25" t="n">
        <x:v>11817839.87686171</x:v>
      </x:c>
      <x:c r="R16" s="25" t="n">
        <x:v>12676879.051314838</x:v>
      </x:c>
    </x:row>
    <x:row r="17" ht="19" customHeight="1">
      <x:c r="A17" s="30" t="str">
        <x:v>surrogate_rules</x:v>
      </x:c>
      <x:c r="B17" s="25" t="n">
        <x:v>10000</x:v>
      </x:c>
      <x:c r="C17" s="25" t="n">
        <x:v>5062.43631712446</x:v>
      </x:c>
      <x:c r="D17" s="25" t="n">
        <x:v>6486.439612374531</x:v>
      </x:c>
      <x:c r="E17" s="25" t="n">
        <x:v>389487718.6897046</x:v>
      </x:c>
      <x:c r="F17" s="25" t="n">
        <x:v>27264140.308279324</x:v>
      </x:c>
      <x:c r="G17" s="25" t="n">
        <x:v>3437346.890107746</x:v>
      </x:c>
      <x:c r="H17" s="25" t="n">
        <x:v>324321.9806187265</x:v>
      </x:c>
      <x:c r="I17" s="25" t="n">
        <x:v>0</x:v>
      </x:c>
      <x:c r="J17" s="25" t="n">
        <x:v>23502471.43755285</x:v>
      </x:c>
      <x:c r="K17" s="30" t="n">
        <x:v>0.008825302378394623</x:v>
      </x:c>
      <x:c r="L17" s="25" t="n">
        <x:v>6034200.902821456</x:v>
      </x:c>
      <x:c r="M17" s="25" t="n">
        <x:v>0.3</x:v>
      </x:c>
      <x:c r="N17" s="25" t="n">
        <x:v>0.5</x:v>
      </x:c>
      <x:c r="O17" s="25" t="n">
        <x:v>0.6</x:v>
      </x:c>
      <x:c r="P17" s="30" t="n">
        <x:v>0.07</x:v>
      </x:c>
      <x:c r="Q17" s="25" t="n">
        <x:v>23502471.43755285</x:v>
      </x:c>
      <x:c r="R17" s="25" t="n">
        <x:v>0</x:v>
      </x:c>
    </x:row>
    <x:row r="18" ht="19" customHeight="1">
      <x:c r="A18" s="30" t="str">
        <x:v>A_conservative</x:v>
      </x:c>
      <x:c r="B18" s="25" t="n">
        <x:v>10000</x:v>
      </x:c>
      <x:c r="C18" s="25" t="n">
        <x:v>6443.96990916383</x:v>
      </x:c>
      <x:c r="D18" s="25" t="n">
        <x:v>2479.2420924837947</x:v>
      </x:c>
      <x:c r="E18" s="25" t="n">
        <x:v>599770633.2516748</x:v>
      </x:c>
      <x:c r="F18" s="25" t="n">
        <x:v>41983944.327617235</x:v>
      </x:c>
      <x:c r="G18" s="25" t="n">
        <x:v>3698441.2599995662</x:v>
      </x:c>
      <x:c r="H18" s="25" t="n">
        <x:v>123962.10462418974</x:v>
      </x:c>
      <x:c r="I18" s="25" t="n">
        <x:v>50000</x:v>
      </x:c>
      <x:c r="J18" s="25" t="n">
        <x:v>38111540.96299348</x:v>
      </x:c>
      <x:c r="K18" s="30" t="n">
        <x:v>0.006166426055154375</x:v>
      </x:c>
      <x:c r="L18" s="25" t="n">
        <x:v>6354352.622496803</x:v>
      </x:c>
      <x:c r="M18" s="25" t="n">
        <x:v>0.3</x:v>
      </x:c>
      <x:c r="N18" s="25" t="n">
        <x:v>0.5</x:v>
      </x:c>
      <x:c r="O18" s="25" t="n">
        <x:v>0.6</x:v>
      </x:c>
      <x:c r="P18" s="30" t="n">
        <x:v>0.07</x:v>
      </x:c>
      <x:c r="Q18" s="25" t="n">
        <x:v>23502471.43755285</x:v>
      </x:c>
      <x:c r="R18" s="25" t="n">
        <x:v>14609069.52544063</x:v>
      </x:c>
    </x:row>
    <x:row r="19" ht="19" customHeight="1">
      <x:c r="A19" s="30" t="str">
        <x:v>B_balanced</x:v>
      </x:c>
      <x:c r="B19" s="25" t="n">
        <x:v>10000</x:v>
      </x:c>
      <x:c r="C19" s="25" t="n">
        <x:v>7851.4752747848315</x:v>
      </x:c>
      <x:c r="D19" s="25" t="n">
        <x:v>1484.4884774643917</x:v>
      </x:c>
      <x:c r="E19" s="25" t="n">
        <x:v>758426734.8841242</x:v>
      </x:c>
      <x:c r="F19" s="25" t="n">
        <x:v>53089871.4418887</x:v>
      </x:c>
      <x:c r="G19" s="25" t="n">
        <x:v>5718126.0433151955</x:v>
      </x:c>
      <x:c r="H19" s="25" t="n">
        <x:v>74224.42387321958</x:v>
      </x:c>
      <x:c r="I19" s="25" t="n">
        <x:v>50000</x:v>
      </x:c>
      <x:c r="J19" s="25" t="n">
        <x:v>47247520.97470029</x:v>
      </x:c>
      <x:c r="K19" s="30" t="n">
        <x:v>0.007539457379741283</x:v>
      </x:c>
      <x:c r="L19" s="25" t="n">
        <x:v>6229675.0366954</x:v>
      </x:c>
      <x:c r="M19" s="25" t="n">
        <x:v>0.3</x:v>
      </x:c>
      <x:c r="N19" s="25" t="n">
        <x:v>0.5</x:v>
      </x:c>
      <x:c r="O19" s="25" t="n">
        <x:v>0.6</x:v>
      </x:c>
      <x:c r="P19" s="30" t="n">
        <x:v>0.07</x:v>
      </x:c>
      <x:c r="Q19" s="25" t="n">
        <x:v>23502471.43755285</x:v>
      </x:c>
      <x:c r="R19" s="25" t="n">
        <x:v>23745049.537147436</x:v>
      </x:c>
    </x:row>
    <x:row r="20" ht="19" customHeight="1">
      <x:c r="A20" s="30" t="str">
        <x:v>surrogate_rules</x:v>
      </x:c>
      <x:c r="B20" s="25" t="n">
        <x:v>10000</x:v>
      </x:c>
      <x:c r="C20" s="25" t="n">
        <x:v>5062.43631712446</x:v>
      </x:c>
      <x:c r="D20" s="25" t="n">
        <x:v>6486.439612374531</x:v>
      </x:c>
      <x:c r="E20" s="25" t="n">
        <x:v>389487718.6897046</x:v>
      </x:c>
      <x:c r="F20" s="25" t="n">
        <x:v>38948771.86897047</x:v>
      </x:c>
      <x:c r="G20" s="25" t="n">
        <x:v>3437346.890107746</x:v>
      </x:c>
      <x:c r="H20" s="25" t="n">
        <x:v>324321.9806187265</x:v>
      </x:c>
      <x:c r="I20" s="25" t="n">
        <x:v>0</x:v>
      </x:c>
      <x:c r="J20" s="25" t="n">
        <x:v>35187102.998243995</x:v>
      </x:c>
      <x:c r="K20" s="30" t="n">
        <x:v>0.008825302378394623</x:v>
      </x:c>
      <x:c r="L20" s="25" t="n">
        <x:v>9034200.902821459</x:v>
      </x:c>
      <x:c r="M20" s="25" t="n">
        <x:v>0.3</x:v>
      </x:c>
      <x:c r="N20" s="25" t="n">
        <x:v>0.5</x:v>
      </x:c>
      <x:c r="O20" s="25" t="n">
        <x:v>0.6</x:v>
      </x:c>
      <x:c r="P20" s="30" t="n">
        <x:v>0.10000000000000002</x:v>
      </x:c>
      <x:c r="Q20" s="25" t="n">
        <x:v>35187102.998243995</x:v>
      </x:c>
      <x:c r="R20" s="25" t="n">
        <x:v>0</x:v>
      </x:c>
    </x:row>
    <x:row r="21" ht="19" customHeight="1">
      <x:c r="A21" s="30" t="str">
        <x:v>A_conservative</x:v>
      </x:c>
      <x:c r="B21" s="25" t="n">
        <x:v>10000</x:v>
      </x:c>
      <x:c r="C21" s="25" t="n">
        <x:v>6443.96990916383</x:v>
      </x:c>
      <x:c r="D21" s="25" t="n">
        <x:v>2479.2420924837947</x:v>
      </x:c>
      <x:c r="E21" s="25" t="n">
        <x:v>599770633.2516748</x:v>
      </x:c>
      <x:c r="F21" s="25" t="n">
        <x:v>59977063.32516749</x:v>
      </x:c>
      <x:c r="G21" s="25" t="n">
        <x:v>3698441.2599995662</x:v>
      </x:c>
      <x:c r="H21" s="25" t="n">
        <x:v>123962.10462418974</x:v>
      </x:c>
      <x:c r="I21" s="25" t="n">
        <x:v>50000</x:v>
      </x:c>
      <x:c r="J21" s="25" t="n">
        <x:v>56104659.96054374</x:v>
      </x:c>
      <x:c r="K21" s="30" t="n">
        <x:v>0.006166426055154375</x:v>
      </x:c>
      <x:c r="L21" s="25" t="n">
        <x:v>9354352.622496806</x:v>
      </x:c>
      <x:c r="M21" s="25" t="n">
        <x:v>0.3</x:v>
      </x:c>
      <x:c r="N21" s="25" t="n">
        <x:v>0.5</x:v>
      </x:c>
      <x:c r="O21" s="25" t="n">
        <x:v>0.6</x:v>
      </x:c>
      <x:c r="P21" s="30" t="n">
        <x:v>0.10000000000000002</x:v>
      </x:c>
      <x:c r="Q21" s="25" t="n">
        <x:v>35187102.998243995</x:v>
      </x:c>
      <x:c r="R21" s="25" t="n">
        <x:v>20917556.96229974</x:v>
      </x:c>
    </x:row>
    <x:row r="22" ht="19" customHeight="1">
      <x:c r="A22" s="30" t="str">
        <x:v>B_balanced</x:v>
      </x:c>
      <x:c r="B22" s="25" t="n">
        <x:v>10000</x:v>
      </x:c>
      <x:c r="C22" s="25" t="n">
        <x:v>7851.4752747848315</x:v>
      </x:c>
      <x:c r="D22" s="25" t="n">
        <x:v>1484.4884774643917</x:v>
      </x:c>
      <x:c r="E22" s="25" t="n">
        <x:v>758426734.8841242</x:v>
      </x:c>
      <x:c r="F22" s="25" t="n">
        <x:v>75842673.48841242</x:v>
      </x:c>
      <x:c r="G22" s="25" t="n">
        <x:v>5718126.0433151955</x:v>
      </x:c>
      <x:c r="H22" s="25" t="n">
        <x:v>74224.42387321958</x:v>
      </x:c>
      <x:c r="I22" s="25" t="n">
        <x:v>50000</x:v>
      </x:c>
      <x:c r="J22" s="25" t="n">
        <x:v>70000323.021224</x:v>
      </x:c>
      <x:c r="K22" s="30" t="n">
        <x:v>0.007539457379741283</x:v>
      </x:c>
      <x:c r="L22" s="25" t="n">
        <x:v>9229675.036695398</x:v>
      </x:c>
      <x:c r="M22" s="25" t="n">
        <x:v>0.3</x:v>
      </x:c>
      <x:c r="N22" s="25" t="n">
        <x:v>0.5</x:v>
      </x:c>
      <x:c r="O22" s="25" t="n">
        <x:v>0.6</x:v>
      </x:c>
      <x:c r="P22" s="30" t="n">
        <x:v>0.10000000000000002</x:v>
      </x:c>
      <x:c r="Q22" s="25" t="n">
        <x:v>35187102.998243995</x:v>
      </x:c>
      <x:c r="R22" s="25" t="n">
        <x:v>34813220.02298001</x:v>
      </x:c>
    </x:row>
    <x:row r="23" ht="19" customHeight="1">
      <x:c r="A23" s="30" t="str">
        <x:v>surrogate_rules</x:v>
      </x:c>
      <x:c r="B23" s="25" t="n">
        <x:v>10000</x:v>
      </x:c>
      <x:c r="C23" s="25" t="n">
        <x:v>6359.724239599367</x:v>
      </x:c>
      <x:c r="D23" s="25" t="n">
        <x:v>6486.439612374531</x:v>
      </x:c>
      <x:c r="E23" s="25" t="n">
        <x:v>480297873.26294786</x:v>
      </x:c>
      <x:c r="F23" s="25" t="n">
        <x:v>19211914.930517912</x:v>
      </x:c>
      <x:c r="G23" s="25" t="n">
        <x:v>4346283.087996184</x:v>
      </x:c>
      <x:c r="H23" s="25" t="n">
        <x:v>324321.9806187265</x:v>
      </x:c>
      <x:c r="I23" s="25" t="n">
        <x:v>0</x:v>
      </x:c>
      <x:c r="J23" s="25" t="n">
        <x:v>14541309.861903</x:v>
      </x:c>
      <x:c r="K23" s="30" t="n">
        <x:v>0.009049140814364446</x:v>
      </x:c>
      <x:c r="L23" s="25" t="n">
        <x:v>3027560.7433185726</x:v>
      </x:c>
      <x:c r="M23" s="25" t="n">
        <x:v>0.3</x:v>
      </x:c>
      <x:c r="N23" s="25" t="n">
        <x:v>0.5</x:v>
      </x:c>
      <x:c r="O23" s="25" t="n">
        <x:v>0.8</x:v>
      </x:c>
      <x:c r="P23" s="30" t="n">
        <x:v>0.039999999999999994</x:v>
      </x:c>
      <x:c r="Q23" s="25" t="n">
        <x:v>14541309.861903</x:v>
      </x:c>
      <x:c r="R23" s="25" t="n">
        <x:v>0</x:v>
      </x:c>
    </x:row>
    <x:row r="24" ht="19" customHeight="1">
      <x:c r="A24" s="30" t="str">
        <x:v>A_conservative</x:v>
      </x:c>
      <x:c r="B24" s="25" t="n">
        <x:v>10000</x:v>
      </x:c>
      <x:c r="C24" s="25" t="n">
        <x:v>6939.81832766059</x:v>
      </x:c>
      <x:c r="D24" s="25" t="n">
        <x:v>2479.2420924837947</x:v>
      </x:c>
      <x:c r="E24" s="25" t="n">
        <x:v>634480022.5464479</x:v>
      </x:c>
      <x:c r="F24" s="25" t="n">
        <x:v>25379200.901857913</x:v>
      </x:c>
      <x:c r="G24" s="25" t="n">
        <x:v>4106358.5318793766</x:v>
      </x:c>
      <x:c r="H24" s="25" t="n">
        <x:v>123962.10462418974</x:v>
      </x:c>
      <x:c r="I24" s="25" t="n">
        <x:v>50000</x:v>
      </x:c>
      <x:c r="J24" s="25" t="n">
        <x:v>21098880.265354346</x:v>
      </x:c>
      <x:c r="K24" s="30" t="n">
        <x:v>0.00647200603006971</x:v>
      </x:c>
      <x:c r="L24" s="25" t="n">
        <x:v>3325381.3383556576</x:v>
      </x:c>
      <x:c r="M24" s="25" t="n">
        <x:v>0.3</x:v>
      </x:c>
      <x:c r="N24" s="25" t="n">
        <x:v>0.5</x:v>
      </x:c>
      <x:c r="O24" s="25" t="n">
        <x:v>0.8</x:v>
      </x:c>
      <x:c r="P24" s="30" t="n">
        <x:v>0.039999999999999994</x:v>
      </x:c>
      <x:c r="Q24" s="25" t="n">
        <x:v>14541309.861903</x:v>
      </x:c>
      <x:c r="R24" s="25" t="n">
        <x:v>6557570.403451346</x:v>
      </x:c>
    </x:row>
    <x:row r="25" ht="19" customHeight="1">
      <x:c r="A25" s="30" t="str">
        <x:v>B_balanced</x:v>
      </x:c>
      <x:c r="B25" s="25" t="n">
        <x:v>10000</x:v>
      </x:c>
      <x:c r="C25" s="25" t="n">
        <x:v>8148.372970277712</x:v>
      </x:c>
      <x:c r="D25" s="25" t="n">
        <x:v>1484.4884774643917</x:v>
      </x:c>
      <x:c r="E25" s="25" t="n">
        <x:v>779209573.5686258</x:v>
      </x:c>
      <x:c r="F25" s="25" t="n">
        <x:v>31168382.942745026</x:v>
      </x:c>
      <x:c r="G25" s="25" t="n">
        <x:v>6068679.948836907</x:v>
      </x:c>
      <x:c r="H25" s="25" t="n">
        <x:v>74224.42387321958</x:v>
      </x:c>
      <x:c r="I25" s="25" t="n">
        <x:v>50000</x:v>
      </x:c>
      <x:c r="J25" s="25" t="n">
        <x:v>24975478.5700349</x:v>
      </x:c>
      <x:c r="K25" s="30" t="n">
        <x:v>0.007788251267298414</x:v>
      </x:c>
      <x:c r="L25" s="25" t="n">
        <x:v>3205232.509612548</x:v>
      </x:c>
      <x:c r="M25" s="25" t="n">
        <x:v>0.3</x:v>
      </x:c>
      <x:c r="N25" s="25" t="n">
        <x:v>0.5</x:v>
      </x:c>
      <x:c r="O25" s="25" t="n">
        <x:v>0.8</x:v>
      </x:c>
      <x:c r="P25" s="30" t="n">
        <x:v>0.039999999999999994</x:v>
      </x:c>
      <x:c r="Q25" s="25" t="n">
        <x:v>14541309.861903</x:v>
      </x:c>
      <x:c r="R25" s="25" t="n">
        <x:v>10434168.708131898</x:v>
      </x:c>
    </x:row>
    <x:row r="26" ht="19" customHeight="1">
      <x:c r="A26" s="30" t="str">
        <x:v>surrogate_rules</x:v>
      </x:c>
      <x:c r="B26" s="25" t="n">
        <x:v>10000</x:v>
      </x:c>
      <x:c r="C26" s="25" t="n">
        <x:v>6359.724239599367</x:v>
      </x:c>
      <x:c r="D26" s="25" t="n">
        <x:v>6486.439612374531</x:v>
      </x:c>
      <x:c r="E26" s="25" t="n">
        <x:v>480297873.26294786</x:v>
      </x:c>
      <x:c r="F26" s="25" t="n">
        <x:v>33620851.12840635</x:v>
      </x:c>
      <x:c r="G26" s="25" t="n">
        <x:v>4346283.087996184</x:v>
      </x:c>
      <x:c r="H26" s="25" t="n">
        <x:v>324321.9806187265</x:v>
      </x:c>
      <x:c r="I26" s="25" t="n">
        <x:v>0</x:v>
      </x:c>
      <x:c r="J26" s="25" t="n">
        <x:v>28950246.059791442</x:v>
      </x:c>
      <x:c r="K26" s="30" t="n">
        <x:v>0.009049140814364446</x:v>
      </x:c>
      <x:c r="L26" s="25" t="n">
        <x:v>6027560.743318574</x:v>
      </x:c>
      <x:c r="M26" s="25" t="n">
        <x:v>0.3</x:v>
      </x:c>
      <x:c r="N26" s="25" t="n">
        <x:v>0.5</x:v>
      </x:c>
      <x:c r="O26" s="25" t="n">
        <x:v>0.8</x:v>
      </x:c>
      <x:c r="P26" s="30" t="n">
        <x:v>0.07</x:v>
      </x:c>
      <x:c r="Q26" s="25" t="n">
        <x:v>28950246.059791442</x:v>
      </x:c>
      <x:c r="R26" s="25" t="n">
        <x:v>0</x:v>
      </x:c>
    </x:row>
    <x:row r="27" ht="19" customHeight="1">
      <x:c r="A27" s="30" t="str">
        <x:v>A_conservative</x:v>
      </x:c>
      <x:c r="B27" s="25" t="n">
        <x:v>10000</x:v>
      </x:c>
      <x:c r="C27" s="25" t="n">
        <x:v>6939.81832766059</x:v>
      </x:c>
      <x:c r="D27" s="25" t="n">
        <x:v>2479.2420924837947</x:v>
      </x:c>
      <x:c r="E27" s="25" t="n">
        <x:v>634480022.5464479</x:v>
      </x:c>
      <x:c r="F27" s="25" t="n">
        <x:v>44413601.578251354</x:v>
      </x:c>
      <x:c r="G27" s="25" t="n">
        <x:v>4106358.5318793766</x:v>
      </x:c>
      <x:c r="H27" s="25" t="n">
        <x:v>123962.10462418974</x:v>
      </x:c>
      <x:c r="I27" s="25" t="n">
        <x:v>50000</x:v>
      </x:c>
      <x:c r="J27" s="25" t="n">
        <x:v>40133280.94174779</x:v>
      </x:c>
      <x:c r="K27" s="30" t="n">
        <x:v>0.00647200603006971</x:v>
      </x:c>
      <x:c r="L27" s="25" t="n">
        <x:v>6325381.3383556595</x:v>
      </x:c>
      <x:c r="M27" s="25" t="n">
        <x:v>0.3</x:v>
      </x:c>
      <x:c r="N27" s="25" t="n">
        <x:v>0.5</x:v>
      </x:c>
      <x:c r="O27" s="25" t="n">
        <x:v>0.8</x:v>
      </x:c>
      <x:c r="P27" s="30" t="n">
        <x:v>0.07</x:v>
      </x:c>
      <x:c r="Q27" s="25" t="n">
        <x:v>28950246.059791442</x:v>
      </x:c>
      <x:c r="R27" s="25" t="n">
        <x:v>11183034.88195635</x:v>
      </x:c>
    </x:row>
    <x:row r="28" ht="19" customHeight="1">
      <x:c r="A28" s="30" t="str">
        <x:v>B_balanced</x:v>
      </x:c>
      <x:c r="B28" s="25" t="n">
        <x:v>10000</x:v>
      </x:c>
      <x:c r="C28" s="25" t="n">
        <x:v>8148.372970277712</x:v>
      </x:c>
      <x:c r="D28" s="25" t="n">
        <x:v>1484.4884774643917</x:v>
      </x:c>
      <x:c r="E28" s="25" t="n">
        <x:v>779209573.5686258</x:v>
      </x:c>
      <x:c r="F28" s="25" t="n">
        <x:v>54544670.14980381</x:v>
      </x:c>
      <x:c r="G28" s="25" t="n">
        <x:v>6068679.948836907</x:v>
      </x:c>
      <x:c r="H28" s="25" t="n">
        <x:v>74224.42387321958</x:v>
      </x:c>
      <x:c r="I28" s="25" t="n">
        <x:v>50000</x:v>
      </x:c>
      <x:c r="J28" s="25" t="n">
        <x:v>48351765.777093686</x:v>
      </x:c>
      <x:c r="K28" s="30" t="n">
        <x:v>0.007788251267298414</x:v>
      </x:c>
      <x:c r="L28" s="25" t="n">
        <x:v>6205232.509612549</x:v>
      </x:c>
      <x:c r="M28" s="25" t="n">
        <x:v>0.3</x:v>
      </x:c>
      <x:c r="N28" s="25" t="n">
        <x:v>0.5</x:v>
      </x:c>
      <x:c r="O28" s="25" t="n">
        <x:v>0.8</x:v>
      </x:c>
      <x:c r="P28" s="30" t="n">
        <x:v>0.07</x:v>
      </x:c>
      <x:c r="Q28" s="25" t="n">
        <x:v>28950246.059791442</x:v>
      </x:c>
      <x:c r="R28" s="25" t="n">
        <x:v>19401519.717302244</x:v>
      </x:c>
    </x:row>
    <x:row r="29" ht="19" customHeight="1">
      <x:c r="A29" s="30" t="str">
        <x:v>surrogate_rules</x:v>
      </x:c>
      <x:c r="B29" s="25" t="n">
        <x:v>10000</x:v>
      </x:c>
      <x:c r="C29" s="25" t="n">
        <x:v>6359.724239599367</x:v>
      </x:c>
      <x:c r="D29" s="25" t="n">
        <x:v>6486.439612374531</x:v>
      </x:c>
      <x:c r="E29" s="25" t="n">
        <x:v>480297873.26294786</x:v>
      </x:c>
      <x:c r="F29" s="25" t="n">
        <x:v>48029787.326294795</x:v>
      </x:c>
      <x:c r="G29" s="25" t="n">
        <x:v>4346283.087996184</x:v>
      </x:c>
      <x:c r="H29" s="25" t="n">
        <x:v>324321.9806187265</x:v>
      </x:c>
      <x:c r="I29" s="25" t="n">
        <x:v>0</x:v>
      </x:c>
      <x:c r="J29" s="25" t="n">
        <x:v>43359182.25767988</x:v>
      </x:c>
      <x:c r="K29" s="30" t="n">
        <x:v>0.009049140814364446</x:v>
      </x:c>
      <x:c r="L29" s="25" t="n">
        <x:v>9027560.743318575</x:v>
      </x:c>
      <x:c r="M29" s="25" t="n">
        <x:v>0.3</x:v>
      </x:c>
      <x:c r="N29" s="25" t="n">
        <x:v>0.5</x:v>
      </x:c>
      <x:c r="O29" s="25" t="n">
        <x:v>0.8</x:v>
      </x:c>
      <x:c r="P29" s="30" t="n">
        <x:v>0.10000000000000002</x:v>
      </x:c>
      <x:c r="Q29" s="25" t="n">
        <x:v>43359182.25767988</x:v>
      </x:c>
      <x:c r="R29" s="25" t="n">
        <x:v>0</x:v>
      </x:c>
    </x:row>
    <x:row r="30" ht="19" customHeight="1">
      <x:c r="A30" s="30" t="str">
        <x:v>A_conservative</x:v>
      </x:c>
      <x:c r="B30" s="25" t="n">
        <x:v>10000</x:v>
      </x:c>
      <x:c r="C30" s="25" t="n">
        <x:v>6939.81832766059</x:v>
      </x:c>
      <x:c r="D30" s="25" t="n">
        <x:v>2479.2420924837947</x:v>
      </x:c>
      <x:c r="E30" s="25" t="n">
        <x:v>634480022.5464479</x:v>
      </x:c>
      <x:c r="F30" s="25" t="n">
        <x:v>63448002.254644796</x:v>
      </x:c>
      <x:c r="G30" s="25" t="n">
        <x:v>4106358.5318793766</x:v>
      </x:c>
      <x:c r="H30" s="25" t="n">
        <x:v>123962.10462418974</x:v>
      </x:c>
      <x:c r="I30" s="25" t="n">
        <x:v>50000</x:v>
      </x:c>
      <x:c r="J30" s="25" t="n">
        <x:v>59167681.61814123</x:v>
      </x:c>
      <x:c r="K30" s="30" t="n">
        <x:v>0.00647200603006971</x:v>
      </x:c>
      <x:c r="L30" s="25" t="n">
        <x:v>9325381.338355659</x:v>
      </x:c>
      <x:c r="M30" s="25" t="n">
        <x:v>0.3</x:v>
      </x:c>
      <x:c r="N30" s="25" t="n">
        <x:v>0.5</x:v>
      </x:c>
      <x:c r="O30" s="25" t="n">
        <x:v>0.8</x:v>
      </x:c>
      <x:c r="P30" s="30" t="n">
        <x:v>0.10000000000000002</x:v>
      </x:c>
      <x:c r="Q30" s="25" t="n">
        <x:v>43359182.25767988</x:v>
      </x:c>
      <x:c r="R30" s="25" t="n">
        <x:v>15808499.360461347</x:v>
      </x:c>
    </x:row>
    <x:row r="31" ht="19" customHeight="1">
      <x:c r="A31" s="30" t="str">
        <x:v>B_balanced</x:v>
      </x:c>
      <x:c r="B31" s="25" t="n">
        <x:v>10000</x:v>
      </x:c>
      <x:c r="C31" s="25" t="n">
        <x:v>8148.372970277712</x:v>
      </x:c>
      <x:c r="D31" s="25" t="n">
        <x:v>1484.4884774643917</x:v>
      </x:c>
      <x:c r="E31" s="25" t="n">
        <x:v>779209573.5686258</x:v>
      </x:c>
      <x:c r="F31" s="25" t="n">
        <x:v>77920957.35686259</x:v>
      </x:c>
      <x:c r="G31" s="25" t="n">
        <x:v>6068679.948836907</x:v>
      </x:c>
      <x:c r="H31" s="25" t="n">
        <x:v>74224.42387321958</x:v>
      </x:c>
      <x:c r="I31" s="25" t="n">
        <x:v>50000</x:v>
      </x:c>
      <x:c r="J31" s="25" t="n">
        <x:v>71728052.98415247</x:v>
      </x:c>
      <x:c r="K31" s="30" t="n">
        <x:v>0.007788251267298414</x:v>
      </x:c>
      <x:c r="L31" s="25" t="n">
        <x:v>9205232.509612551</x:v>
      </x:c>
      <x:c r="M31" s="25" t="n">
        <x:v>0.3</x:v>
      </x:c>
      <x:c r="N31" s="25" t="n">
        <x:v>0.5</x:v>
      </x:c>
      <x:c r="O31" s="25" t="n">
        <x:v>0.8</x:v>
      </x:c>
      <x:c r="P31" s="30" t="n">
        <x:v>0.10000000000000002</x:v>
      </x:c>
      <x:c r="Q31" s="25" t="n">
        <x:v>43359182.25767988</x:v>
      </x:c>
      <x:c r="R31" s="25" t="n">
        <x:v>28368870.726472586</x:v>
      </x:c>
    </x:row>
    <x:row r="32" ht="19" customHeight="1">
      <x:c r="A32" s="30" t="str">
        <x:v>surrogate_rules</x:v>
      </x:c>
      <x:c r="B32" s="25" t="n">
        <x:v>10000</x:v>
      </x:c>
      <x:c r="C32" s="25" t="n">
        <x:v>3765.1483946495546</x:v>
      </x:c>
      <x:c r="D32" s="25" t="n">
        <x:v>6486.439612374531</x:v>
      </x:c>
      <x:c r="E32" s="25" t="n">
        <x:v>298677564.11646104</x:v>
      </x:c>
      <x:c r="F32" s="25" t="n">
        <x:v>11947102.56465844</x:v>
      </x:c>
      <x:c r="G32" s="25" t="n">
        <x:v>5056821.384438615</x:v>
      </x:c>
      <x:c r="H32" s="25" t="n">
        <x:v>324321.9806187265</x:v>
      </x:c>
      <x:c r="I32" s="25" t="n">
        <x:v>0</x:v>
      </x:c>
      <x:c r="J32" s="25" t="n">
        <x:v>6565959.199601099</x:v>
      </x:c>
      <x:c r="K32" s="30" t="n">
        <x:v>0.016930703849140968</x:v>
      </x:c>
      <x:c r="L32" s="25" t="n">
        <x:v>2198343.628194612</x:v>
      </x:c>
      <x:c r="M32" s="25" t="n">
        <x:v>0.3</x:v>
      </x:c>
      <x:c r="N32" s="25" t="n">
        <x:v>1</x:v>
      </x:c>
      <x:c r="O32" s="25" t="n">
        <x:v>0.4</x:v>
      </x:c>
      <x:c r="P32" s="30" t="n">
        <x:v>0.039999999999999994</x:v>
      </x:c>
      <x:c r="Q32" s="25" t="n">
        <x:v>6565959.199601099</x:v>
      </x:c>
      <x:c r="R32" s="25" t="n">
        <x:v>0</x:v>
      </x:c>
    </x:row>
    <x:row r="33" ht="19" customHeight="1">
      <x:c r="A33" s="30" t="str">
        <x:v>A_conservative</x:v>
      </x:c>
      <x:c r="B33" s="25" t="n">
        <x:v>10000</x:v>
      </x:c>
      <x:c r="C33" s="25" t="n">
        <x:v>5948.121490667072</x:v>
      </x:c>
      <x:c r="D33" s="25" t="n">
        <x:v>2479.2420924837947</x:v>
      </x:c>
      <x:c r="E33" s="25" t="n">
        <x:v>565061243.9569017</x:v>
      </x:c>
      <x:c r="F33" s="25" t="n">
        <x:v>22602449.758276064</x:v>
      </x:c>
      <x:c r="G33" s="25" t="n">
        <x:v>6581047.976239513</x:v>
      </x:c>
      <x:c r="H33" s="25" t="n">
        <x:v>123962.10462418974</x:v>
      </x:c>
      <x:c r="I33" s="25" t="n">
        <x:v>50000</x:v>
      </x:c>
      <x:c r="J33" s="25" t="n">
        <x:v>15847439.67741236</x:v>
      </x:c>
      <x:c r="K33" s="30" t="n">
        <x:v>0.011646610073901055</x:v>
      </x:c>
      <x:c r="L33" s="25" t="n">
        <x:v>2804552.57671522</x:v>
      </x:c>
      <x:c r="M33" s="25" t="n">
        <x:v>0.3</x:v>
      </x:c>
      <x:c r="N33" s="25" t="n">
        <x:v>1</x:v>
      </x:c>
      <x:c r="O33" s="25" t="n">
        <x:v>0.4</x:v>
      </x:c>
      <x:c r="P33" s="30" t="n">
        <x:v>0.039999999999999994</x:v>
      </x:c>
      <x:c r="Q33" s="25" t="n">
        <x:v>6565959.199601099</x:v>
      </x:c>
      <x:c r="R33" s="25" t="n">
        <x:v>9281480.477811262</x:v>
      </x:c>
    </x:row>
    <x:row r="34" ht="19" customHeight="1">
      <x:c r="A34" s="30" t="str">
        <x:v>B_balanced</x:v>
      </x:c>
      <x:c r="B34" s="25" t="n">
        <x:v>10000</x:v>
      </x:c>
      <x:c r="C34" s="25" t="n">
        <x:v>7554.577579291957</x:v>
      </x:c>
      <x:c r="D34" s="25" t="n">
        <x:v>1484.4884774643917</x:v>
      </x:c>
      <x:c r="E34" s="25" t="n">
        <x:v>737643896.1996229</x:v>
      </x:c>
      <x:c r="F34" s="25" t="n">
        <x:v>29505755.84798491</x:v>
      </x:c>
      <x:c r="G34" s="25" t="n">
        <x:v>10735144.275586965</x:v>
      </x:c>
      <x:c r="H34" s="25" t="n">
        <x:v>74224.42387321958</x:v>
      </x:c>
      <x:c r="I34" s="25" t="n">
        <x:v>50000</x:v>
      </x:c>
      <x:c r="J34" s="25" t="n">
        <x:v>18646387.148524728</x:v>
      </x:c>
      <x:c r="K34" s="30" t="n">
        <x:v>0.01455328828842067</x:v>
      </x:c>
      <x:c r="L34" s="25" t="n">
        <x:v>2527830.467328723</x:v>
      </x:c>
      <x:c r="M34" s="25" t="n">
        <x:v>0.3</x:v>
      </x:c>
      <x:c r="N34" s="25" t="n">
        <x:v>1</x:v>
      </x:c>
      <x:c r="O34" s="25" t="n">
        <x:v>0.4</x:v>
      </x:c>
      <x:c r="P34" s="30" t="n">
        <x:v>0.039999999999999994</x:v>
      </x:c>
      <x:c r="Q34" s="25" t="n">
        <x:v>6565959.199601099</x:v>
      </x:c>
      <x:c r="R34" s="25" t="n">
        <x:v>12080427.948923629</x:v>
      </x:c>
    </x:row>
    <x:row r="35" ht="19" customHeight="1">
      <x:c r="A35" s="30" t="str">
        <x:v>surrogate_rules</x:v>
      </x:c>
      <x:c r="B35" s="25" t="n">
        <x:v>10000</x:v>
      </x:c>
      <x:c r="C35" s="25" t="n">
        <x:v>3765.1483946495546</x:v>
      </x:c>
      <x:c r="D35" s="25" t="n">
        <x:v>6486.439612374531</x:v>
      </x:c>
      <x:c r="E35" s="25" t="n">
        <x:v>298677564.11646104</x:v>
      </x:c>
      <x:c r="F35" s="25" t="n">
        <x:v>20907429.488152273</x:v>
      </x:c>
      <x:c r="G35" s="25" t="n">
        <x:v>5056821.384438615</x:v>
      </x:c>
      <x:c r="H35" s="25" t="n">
        <x:v>324321.9806187265</x:v>
      </x:c>
      <x:c r="I35" s="25" t="n">
        <x:v>0</x:v>
      </x:c>
      <x:c r="J35" s="25" t="n">
        <x:v>15526286.123094931</x:v>
      </x:c>
      <x:c r="K35" s="30" t="n">
        <x:v>0.016930703849140968</x:v>
      </x:c>
      <x:c r="L35" s="25" t="n">
        <x:v>5198343.628194612</x:v>
      </x:c>
      <x:c r="M35" s="25" t="n">
        <x:v>0.3</x:v>
      </x:c>
      <x:c r="N35" s="25" t="n">
        <x:v>1</x:v>
      </x:c>
      <x:c r="O35" s="25" t="n">
        <x:v>0.4</x:v>
      </x:c>
      <x:c r="P35" s="30" t="n">
        <x:v>0.07</x:v>
      </x:c>
      <x:c r="Q35" s="25" t="n">
        <x:v>15526286.123094931</x:v>
      </x:c>
      <x:c r="R35" s="25" t="n">
        <x:v>0</x:v>
      </x:c>
    </x:row>
    <x:row r="36" ht="19" customHeight="1">
      <x:c r="A36" s="30" t="str">
        <x:v>A_conservative</x:v>
      </x:c>
      <x:c r="B36" s="25" t="n">
        <x:v>10000</x:v>
      </x:c>
      <x:c r="C36" s="25" t="n">
        <x:v>5948.121490667072</x:v>
      </x:c>
      <x:c r="D36" s="25" t="n">
        <x:v>2479.2420924837947</x:v>
      </x:c>
      <x:c r="E36" s="25" t="n">
        <x:v>565061243.9569017</x:v>
      </x:c>
      <x:c r="F36" s="25" t="n">
        <x:v>39554287.076983124</x:v>
      </x:c>
      <x:c r="G36" s="25" t="n">
        <x:v>6581047.976239513</x:v>
      </x:c>
      <x:c r="H36" s="25" t="n">
        <x:v>123962.10462418974</x:v>
      </x:c>
      <x:c r="I36" s="25" t="n">
        <x:v>50000</x:v>
      </x:c>
      <x:c r="J36" s="25" t="n">
        <x:v>32799276.99611942</x:v>
      </x:c>
      <x:c r="K36" s="30" t="n">
        <x:v>0.011646610073901055</x:v>
      </x:c>
      <x:c r="L36" s="25" t="n">
        <x:v>5804552.576715222</x:v>
      </x:c>
      <x:c r="M36" s="25" t="n">
        <x:v>0.3</x:v>
      </x:c>
      <x:c r="N36" s="25" t="n">
        <x:v>1</x:v>
      </x:c>
      <x:c r="O36" s="25" t="n">
        <x:v>0.4</x:v>
      </x:c>
      <x:c r="P36" s="30" t="n">
        <x:v>0.07</x:v>
      </x:c>
      <x:c r="Q36" s="25" t="n">
        <x:v>15526286.123094931</x:v>
      </x:c>
      <x:c r="R36" s="25" t="n">
        <x:v>17272990.87302449</x:v>
      </x:c>
    </x:row>
    <x:row r="37" ht="19" customHeight="1">
      <x:c r="A37" s="30" t="str">
        <x:v>B_balanced</x:v>
      </x:c>
      <x:c r="B37" s="25" t="n">
        <x:v>10000</x:v>
      </x:c>
      <x:c r="C37" s="25" t="n">
        <x:v>7554.577579291957</x:v>
      </x:c>
      <x:c r="D37" s="25" t="n">
        <x:v>1484.4884774643917</x:v>
      </x:c>
      <x:c r="E37" s="25" t="n">
        <x:v>737643896.1996229</x:v>
      </x:c>
      <x:c r="F37" s="25" t="n">
        <x:v>51635072.73397361</x:v>
      </x:c>
      <x:c r="G37" s="25" t="n">
        <x:v>10735144.275586965</x:v>
      </x:c>
      <x:c r="H37" s="25" t="n">
        <x:v>74224.42387321958</x:v>
      </x:c>
      <x:c r="I37" s="25" t="n">
        <x:v>50000</x:v>
      </x:c>
      <x:c r="J37" s="25" t="n">
        <x:v>40775704.03451343</x:v>
      </x:c>
      <x:c r="K37" s="30" t="n">
        <x:v>0.01455328828842067</x:v>
      </x:c>
      <x:c r="L37" s="25" t="n">
        <x:v>5527830.467328725</x:v>
      </x:c>
      <x:c r="M37" s="25" t="n">
        <x:v>0.3</x:v>
      </x:c>
      <x:c r="N37" s="25" t="n">
        <x:v>1</x:v>
      </x:c>
      <x:c r="O37" s="25" t="n">
        <x:v>0.4</x:v>
      </x:c>
      <x:c r="P37" s="30" t="n">
        <x:v>0.07</x:v>
      </x:c>
      <x:c r="Q37" s="25" t="n">
        <x:v>15526286.123094931</x:v>
      </x:c>
      <x:c r="R37" s="25" t="n">
        <x:v>25249417.911418498</x:v>
      </x:c>
    </x:row>
    <x:row r="38" ht="19" customHeight="1">
      <x:c r="A38" s="30" t="str">
        <x:v>surrogate_rules</x:v>
      </x:c>
      <x:c r="B38" s="25" t="n">
        <x:v>10000</x:v>
      </x:c>
      <x:c r="C38" s="25" t="n">
        <x:v>3765.1483946495546</x:v>
      </x:c>
      <x:c r="D38" s="25" t="n">
        <x:v>6486.439612374531</x:v>
      </x:c>
      <x:c r="E38" s="25" t="n">
        <x:v>298677564.11646104</x:v>
      </x:c>
      <x:c r="F38" s="25" t="n">
        <x:v>29867756.41164611</x:v>
      </x:c>
      <x:c r="G38" s="25" t="n">
        <x:v>5056821.384438615</x:v>
      </x:c>
      <x:c r="H38" s="25" t="n">
        <x:v>324321.9806187265</x:v>
      </x:c>
      <x:c r="I38" s="25" t="n">
        <x:v>0</x:v>
      </x:c>
      <x:c r="J38" s="25" t="n">
        <x:v>24486613.046588767</x:v>
      </x:c>
      <x:c r="K38" s="30" t="n">
        <x:v>0.016930703849140968</x:v>
      </x:c>
      <x:c r="L38" s="25" t="n">
        <x:v>8198343.628194614</x:v>
      </x:c>
      <x:c r="M38" s="25" t="n">
        <x:v>0.3</x:v>
      </x:c>
      <x:c r="N38" s="25" t="n">
        <x:v>1</x:v>
      </x:c>
      <x:c r="O38" s="25" t="n">
        <x:v>0.4</x:v>
      </x:c>
      <x:c r="P38" s="30" t="n">
        <x:v>0.10000000000000002</x:v>
      </x:c>
      <x:c r="Q38" s="25" t="n">
        <x:v>24486613.046588767</x:v>
      </x:c>
      <x:c r="R38" s="25" t="n">
        <x:v>0</x:v>
      </x:c>
    </x:row>
    <x:row r="39" ht="19" customHeight="1">
      <x:c r="A39" s="30" t="str">
        <x:v>A_conservative</x:v>
      </x:c>
      <x:c r="B39" s="25" t="n">
        <x:v>10000</x:v>
      </x:c>
      <x:c r="C39" s="25" t="n">
        <x:v>5948.121490667072</x:v>
      </x:c>
      <x:c r="D39" s="25" t="n">
        <x:v>2479.2420924837947</x:v>
      </x:c>
      <x:c r="E39" s="25" t="n">
        <x:v>565061243.9569017</x:v>
      </x:c>
      <x:c r="F39" s="25" t="n">
        <x:v>56506124.39569018</x:v>
      </x:c>
      <x:c r="G39" s="25" t="n">
        <x:v>6581047.976239513</x:v>
      </x:c>
      <x:c r="H39" s="25" t="n">
        <x:v>123962.10462418974</x:v>
      </x:c>
      <x:c r="I39" s="25" t="n">
        <x:v>50000</x:v>
      </x:c>
      <x:c r="J39" s="25" t="n">
        <x:v>49751114.31482648</x:v>
      </x:c>
      <x:c r="K39" s="30" t="n">
        <x:v>0.011646610073901055</x:v>
      </x:c>
      <x:c r="L39" s="25" t="n">
        <x:v>8804552.576715223</x:v>
      </x:c>
      <x:c r="M39" s="25" t="n">
        <x:v>0.3</x:v>
      </x:c>
      <x:c r="N39" s="25" t="n">
        <x:v>1</x:v>
      </x:c>
      <x:c r="O39" s="25" t="n">
        <x:v>0.4</x:v>
      </x:c>
      <x:c r="P39" s="30" t="n">
        <x:v>0.10000000000000002</x:v>
      </x:c>
      <x:c r="Q39" s="25" t="n">
        <x:v>24486613.046588767</x:v>
      </x:c>
      <x:c r="R39" s="25" t="n">
        <x:v>25264501.268237714</x:v>
      </x:c>
    </x:row>
    <x:row r="40" ht="19" customHeight="1">
      <x:c r="A40" s="30" t="str">
        <x:v>B_balanced</x:v>
      </x:c>
      <x:c r="B40" s="25" t="n">
        <x:v>10000</x:v>
      </x:c>
      <x:c r="C40" s="25" t="n">
        <x:v>7554.577579291957</x:v>
      </x:c>
      <x:c r="D40" s="25" t="n">
        <x:v>1484.4884774643917</x:v>
      </x:c>
      <x:c r="E40" s="25" t="n">
        <x:v>737643896.1996229</x:v>
      </x:c>
      <x:c r="F40" s="25" t="n">
        <x:v>73764389.6199623</x:v>
      </x:c>
      <x:c r="G40" s="25" t="n">
        <x:v>10735144.275586965</x:v>
      </x:c>
      <x:c r="H40" s="25" t="n">
        <x:v>74224.42387321958</x:v>
      </x:c>
      <x:c r="I40" s="25" t="n">
        <x:v>50000</x:v>
      </x:c>
      <x:c r="J40" s="25" t="n">
        <x:v>62905020.920502126</x:v>
      </x:c>
      <x:c r="K40" s="30" t="n">
        <x:v>0.01455328828842067</x:v>
      </x:c>
      <x:c r="L40" s="25" t="n">
        <x:v>8527830.467328727</x:v>
      </x:c>
      <x:c r="M40" s="25" t="n">
        <x:v>0.3</x:v>
      </x:c>
      <x:c r="N40" s="25" t="n">
        <x:v>1</x:v>
      </x:c>
      <x:c r="O40" s="25" t="n">
        <x:v>0.4</x:v>
      </x:c>
      <x:c r="P40" s="30" t="n">
        <x:v>0.10000000000000002</x:v>
      </x:c>
      <x:c r="Q40" s="25" t="n">
        <x:v>24486613.046588767</x:v>
      </x:c>
      <x:c r="R40" s="25" t="n">
        <x:v>38418407.87391336</x:v>
      </x:c>
    </x:row>
    <x:row r="41" ht="19" customHeight="1">
      <x:c r="A41" s="30" t="str">
        <x:v>surrogate_rules</x:v>
      </x:c>
      <x:c r="B41" s="25" t="n">
        <x:v>10000</x:v>
      </x:c>
      <x:c r="C41" s="25" t="n">
        <x:v>5062.43631712446</x:v>
      </x:c>
      <x:c r="D41" s="25" t="n">
        <x:v>6486.439612374531</x:v>
      </x:c>
      <x:c r="E41" s="25" t="n">
        <x:v>389487718.6897046</x:v>
      </x:c>
      <x:c r="F41" s="25" t="n">
        <x:v>15579508.747588182</x:v>
      </x:c>
      <x:c r="G41" s="25" t="n">
        <x:v>6874693.780215492</x:v>
      </x:c>
      <x:c r="H41" s="25" t="n">
        <x:v>324321.9806187265</x:v>
      </x:c>
      <x:c r="I41" s="25" t="n">
        <x:v>0</x:v>
      </x:c>
      <x:c r="J41" s="25" t="n">
        <x:v>8380492.986753963</x:v>
      </x:c>
      <x:c r="K41" s="30" t="n">
        <x:v>0.017650604756789246</x:v>
      </x:c>
      <x:c r="L41" s="25" t="n">
        <x:v>2151670.6649819934</x:v>
      </x:c>
      <x:c r="M41" s="25" t="n">
        <x:v>0.3</x:v>
      </x:c>
      <x:c r="N41" s="25" t="n">
        <x:v>1</x:v>
      </x:c>
      <x:c r="O41" s="25" t="n">
        <x:v>0.6</x:v>
      </x:c>
      <x:c r="P41" s="30" t="n">
        <x:v>0.039999999999999994</x:v>
      </x:c>
      <x:c r="Q41" s="25" t="n">
        <x:v>8380492.986753963</x:v>
      </x:c>
      <x:c r="R41" s="25" t="n">
        <x:v>0</x:v>
      </x:c>
    </x:row>
    <x:row r="42" ht="19" customHeight="1">
      <x:c r="A42" s="30" t="str">
        <x:v>A_conservative</x:v>
      </x:c>
      <x:c r="B42" s="25" t="n">
        <x:v>10000</x:v>
      </x:c>
      <x:c r="C42" s="25" t="n">
        <x:v>6443.96990916383</x:v>
      </x:c>
      <x:c r="D42" s="25" t="n">
        <x:v>2479.2420924837947</x:v>
      </x:c>
      <x:c r="E42" s="25" t="n">
        <x:v>599770633.2516748</x:v>
      </x:c>
      <x:c r="F42" s="25" t="n">
        <x:v>23990825.330066986</x:v>
      </x:c>
      <x:c r="G42" s="25" t="n">
        <x:v>7396882.5199991325</x:v>
      </x:c>
      <x:c r="H42" s="25" t="n">
        <x:v>123962.10462418974</x:v>
      </x:c>
      <x:c r="I42" s="25" t="n">
        <x:v>50000</x:v>
      </x:c>
      <x:c r="J42" s="25" t="n">
        <x:v>16419980.705443665</x:v>
      </x:c>
      <x:c r="K42" s="30" t="n">
        <x:v>0.01233285211030875</x:v>
      </x:c>
      <x:c r="L42" s="25" t="n">
        <x:v>2737710.016981365</x:v>
      </x:c>
      <x:c r="M42" s="25" t="n">
        <x:v>0.3</x:v>
      </x:c>
      <x:c r="N42" s="25" t="n">
        <x:v>1</x:v>
      </x:c>
      <x:c r="O42" s="25" t="n">
        <x:v>0.6</x:v>
      </x:c>
      <x:c r="P42" s="30" t="n">
        <x:v>0.039999999999999994</x:v>
      </x:c>
      <x:c r="Q42" s="25" t="n">
        <x:v>8380492.986753963</x:v>
      </x:c>
      <x:c r="R42" s="25" t="n">
        <x:v>8039487.718689702</x:v>
      </x:c>
    </x:row>
    <x:row r="43" ht="19" customHeight="1">
      <x:c r="A43" s="30" t="str">
        <x:v>B_balanced</x:v>
      </x:c>
      <x:c r="B43" s="25" t="n">
        <x:v>10000</x:v>
      </x:c>
      <x:c r="C43" s="25" t="n">
        <x:v>7851.4752747848315</x:v>
      </x:c>
      <x:c r="D43" s="25" t="n">
        <x:v>1484.4884774643917</x:v>
      </x:c>
      <x:c r="E43" s="25" t="n">
        <x:v>758426734.8841242</x:v>
      </x:c>
      <x:c r="F43" s="25" t="n">
        <x:v>30337069.395364963</x:v>
      </x:c>
      <x:c r="G43" s="25" t="n">
        <x:v>11436252.086630391</x:v>
      </x:c>
      <x:c r="H43" s="25" t="n">
        <x:v>74224.42387321958</x:v>
      </x:c>
      <x:c r="I43" s="25" t="n">
        <x:v>50000</x:v>
      </x:c>
      <x:c r="J43" s="25" t="n">
        <x:v>18776592.884861354</x:v>
      </x:c>
      <x:c r="K43" s="30" t="n">
        <x:v>0.015078914759482566</x:v>
      </x:c>
      <x:c r="L43" s="25" t="n">
        <x:v>2475729.29872127</x:v>
      </x:c>
      <x:c r="M43" s="25" t="n">
        <x:v>0.3</x:v>
      </x:c>
      <x:c r="N43" s="25" t="n">
        <x:v>1</x:v>
      </x:c>
      <x:c r="O43" s="25" t="n">
        <x:v>0.6</x:v>
      </x:c>
      <x:c r="P43" s="30" t="n">
        <x:v>0.039999999999999994</x:v>
      </x:c>
      <x:c r="Q43" s="25" t="n">
        <x:v>8380492.986753963</x:v>
      </x:c>
      <x:c r="R43" s="25" t="n">
        <x:v>10396099.89810739</x:v>
      </x:c>
    </x:row>
    <x:row r="44" ht="19" customHeight="1">
      <x:c r="A44" s="30" t="str">
        <x:v>surrogate_rules</x:v>
      </x:c>
      <x:c r="B44" s="25" t="n">
        <x:v>10000</x:v>
      </x:c>
      <x:c r="C44" s="25" t="n">
        <x:v>5062.43631712446</x:v>
      </x:c>
      <x:c r="D44" s="25" t="n">
        <x:v>6486.439612374531</x:v>
      </x:c>
      <x:c r="E44" s="25" t="n">
        <x:v>389487718.6897046</x:v>
      </x:c>
      <x:c r="F44" s="25" t="n">
        <x:v>27264140.308279324</x:v>
      </x:c>
      <x:c r="G44" s="25" t="n">
        <x:v>6874693.780215492</x:v>
      </x:c>
      <x:c r="H44" s="25" t="n">
        <x:v>324321.9806187265</x:v>
      </x:c>
      <x:c r="I44" s="25" t="n">
        <x:v>0</x:v>
      </x:c>
      <x:c r="J44" s="25" t="n">
        <x:v>20065124.547445107</x:v>
      </x:c>
      <x:c r="K44" s="30" t="n">
        <x:v>0.017650604756789246</x:v>
      </x:c>
      <x:c r="L44" s="25" t="n">
        <x:v>5151670.664981995</x:v>
      </x:c>
      <x:c r="M44" s="25" t="n">
        <x:v>0.3</x:v>
      </x:c>
      <x:c r="N44" s="25" t="n">
        <x:v>1</x:v>
      </x:c>
      <x:c r="O44" s="25" t="n">
        <x:v>0.6</x:v>
      </x:c>
      <x:c r="P44" s="30" t="n">
        <x:v>0.07</x:v>
      </x:c>
      <x:c r="Q44" s="25" t="n">
        <x:v>20065124.547445107</x:v>
      </x:c>
      <x:c r="R44" s="25" t="n">
        <x:v>0</x:v>
      </x:c>
    </x:row>
    <x:row r="45" ht="19" customHeight="1">
      <x:c r="A45" s="30" t="str">
        <x:v>A_conservative</x:v>
      </x:c>
      <x:c r="B45" s="25" t="n">
        <x:v>10000</x:v>
      </x:c>
      <x:c r="C45" s="25" t="n">
        <x:v>6443.96990916383</x:v>
      </x:c>
      <x:c r="D45" s="25" t="n">
        <x:v>2479.2420924837947</x:v>
      </x:c>
      <x:c r="E45" s="25" t="n">
        <x:v>599770633.2516748</x:v>
      </x:c>
      <x:c r="F45" s="25" t="n">
        <x:v>41983944.327617235</x:v>
      </x:c>
      <x:c r="G45" s="25" t="n">
        <x:v>7396882.5199991325</x:v>
      </x:c>
      <x:c r="H45" s="25" t="n">
        <x:v>123962.10462418974</x:v>
      </x:c>
      <x:c r="I45" s="25" t="n">
        <x:v>50000</x:v>
      </x:c>
      <x:c r="J45" s="25" t="n">
        <x:v>34413099.702993914</x:v>
      </x:c>
      <x:c r="K45" s="30" t="n">
        <x:v>0.01233285211030875</x:v>
      </x:c>
      <x:c r="L45" s="25" t="n">
        <x:v>5737710.016981366</x:v>
      </x:c>
      <x:c r="M45" s="25" t="n">
        <x:v>0.3</x:v>
      </x:c>
      <x:c r="N45" s="25" t="n">
        <x:v>1</x:v>
      </x:c>
      <x:c r="O45" s="25" t="n">
        <x:v>0.6</x:v>
      </x:c>
      <x:c r="P45" s="30" t="n">
        <x:v>0.07</x:v>
      </x:c>
      <x:c r="Q45" s="25" t="n">
        <x:v>20065124.547445107</x:v>
      </x:c>
      <x:c r="R45" s="25" t="n">
        <x:v>14347975.155548807</x:v>
      </x:c>
    </x:row>
    <x:row r="46" ht="19" customHeight="1">
      <x:c r="A46" s="30" t="str">
        <x:v>B_balanced</x:v>
      </x:c>
      <x:c r="B46" s="25" t="n">
        <x:v>10000</x:v>
      </x:c>
      <x:c r="C46" s="25" t="n">
        <x:v>7851.4752747848315</x:v>
      </x:c>
      <x:c r="D46" s="25" t="n">
        <x:v>1484.4884774643917</x:v>
      </x:c>
      <x:c r="E46" s="25" t="n">
        <x:v>758426734.8841242</x:v>
      </x:c>
      <x:c r="F46" s="25" t="n">
        <x:v>53089871.4418887</x:v>
      </x:c>
      <x:c r="G46" s="25" t="n">
        <x:v>11436252.086630391</x:v>
      </x:c>
      <x:c r="H46" s="25" t="n">
        <x:v>74224.42387321958</x:v>
      </x:c>
      <x:c r="I46" s="25" t="n">
        <x:v>50000</x:v>
      </x:c>
      <x:c r="J46" s="25" t="n">
        <x:v>41529394.93138509</x:v>
      </x:c>
      <x:c r="K46" s="30" t="n">
        <x:v>0.015078914759482566</x:v>
      </x:c>
      <x:c r="L46" s="25" t="n">
        <x:v>5475729.2987212725</x:v>
      </x:c>
      <x:c r="M46" s="25" t="n">
        <x:v>0.3</x:v>
      </x:c>
      <x:c r="N46" s="25" t="n">
        <x:v>1</x:v>
      </x:c>
      <x:c r="O46" s="25" t="n">
        <x:v>0.6</x:v>
      </x:c>
      <x:c r="P46" s="30" t="n">
        <x:v>0.07</x:v>
      </x:c>
      <x:c r="Q46" s="25" t="n">
        <x:v>20065124.547445107</x:v>
      </x:c>
      <x:c r="R46" s="25" t="n">
        <x:v>21464270.383939985</x:v>
      </x:c>
    </x:row>
    <x:row r="47" ht="19" customHeight="1">
      <x:c r="A47" s="30" t="str">
        <x:v>surrogate_rules</x:v>
      </x:c>
      <x:c r="B47" s="25" t="n">
        <x:v>10000</x:v>
      </x:c>
      <x:c r="C47" s="25" t="n">
        <x:v>5062.43631712446</x:v>
      </x:c>
      <x:c r="D47" s="25" t="n">
        <x:v>6486.439612374531</x:v>
      </x:c>
      <x:c r="E47" s="25" t="n">
        <x:v>389487718.6897046</x:v>
      </x:c>
      <x:c r="F47" s="25" t="n">
        <x:v>38948771.86897047</x:v>
      </x:c>
      <x:c r="G47" s="25" t="n">
        <x:v>6874693.780215492</x:v>
      </x:c>
      <x:c r="H47" s="25" t="n">
        <x:v>324321.9806187265</x:v>
      </x:c>
      <x:c r="I47" s="25" t="n">
        <x:v>0</x:v>
      </x:c>
      <x:c r="J47" s="25" t="n">
        <x:v>31749756.10813625</x:v>
      </x:c>
      <x:c r="K47" s="30" t="n">
        <x:v>0.017650604756789246</x:v>
      </x:c>
      <x:c r="L47" s="25" t="n">
        <x:v>8151670.664981997</x:v>
      </x:c>
      <x:c r="M47" s="25" t="n">
        <x:v>0.3</x:v>
      </x:c>
      <x:c r="N47" s="25" t="n">
        <x:v>1</x:v>
      </x:c>
      <x:c r="O47" s="25" t="n">
        <x:v>0.6</x:v>
      </x:c>
      <x:c r="P47" s="30" t="n">
        <x:v>0.10000000000000002</x:v>
      </x:c>
      <x:c r="Q47" s="25" t="n">
        <x:v>31749756.10813625</x:v>
      </x:c>
      <x:c r="R47" s="25" t="n">
        <x:v>0</x:v>
      </x:c>
    </x:row>
    <x:row r="48" ht="19" customHeight="1">
      <x:c r="A48" s="30" t="str">
        <x:v>A_conservative</x:v>
      </x:c>
      <x:c r="B48" s="25" t="n">
        <x:v>10000</x:v>
      </x:c>
      <x:c r="C48" s="25" t="n">
        <x:v>6443.96990916383</x:v>
      </x:c>
      <x:c r="D48" s="25" t="n">
        <x:v>2479.2420924837947</x:v>
      </x:c>
      <x:c r="E48" s="25" t="n">
        <x:v>599770633.2516748</x:v>
      </x:c>
      <x:c r="F48" s="25" t="n">
        <x:v>59977063.32516749</x:v>
      </x:c>
      <x:c r="G48" s="25" t="n">
        <x:v>7396882.5199991325</x:v>
      </x:c>
      <x:c r="H48" s="25" t="n">
        <x:v>123962.10462418974</x:v>
      </x:c>
      <x:c r="I48" s="25" t="n">
        <x:v>50000</x:v>
      </x:c>
      <x:c r="J48" s="25" t="n">
        <x:v>52406218.70054417</x:v>
      </x:c>
      <x:c r="K48" s="30" t="n">
        <x:v>0.01233285211030875</x:v>
      </x:c>
      <x:c r="L48" s="25" t="n">
        <x:v>8737710.016981367</x:v>
      </x:c>
      <x:c r="M48" s="25" t="n">
        <x:v>0.3</x:v>
      </x:c>
      <x:c r="N48" s="25" t="n">
        <x:v>1</x:v>
      </x:c>
      <x:c r="O48" s="25" t="n">
        <x:v>0.6</x:v>
      </x:c>
      <x:c r="P48" s="30" t="n">
        <x:v>0.10000000000000002</x:v>
      </x:c>
      <x:c r="Q48" s="25" t="n">
        <x:v>31749756.10813625</x:v>
      </x:c>
      <x:c r="R48" s="25" t="n">
        <x:v>20656462.59240792</x:v>
      </x:c>
    </x:row>
    <x:row r="49" ht="19" customHeight="1">
      <x:c r="A49" s="30" t="str">
        <x:v>B_balanced</x:v>
      </x:c>
      <x:c r="B49" s="25" t="n">
        <x:v>10000</x:v>
      </x:c>
      <x:c r="C49" s="25" t="n">
        <x:v>7851.4752747848315</x:v>
      </x:c>
      <x:c r="D49" s="25" t="n">
        <x:v>1484.4884774643917</x:v>
      </x:c>
      <x:c r="E49" s="25" t="n">
        <x:v>758426734.8841242</x:v>
      </x:c>
      <x:c r="F49" s="25" t="n">
        <x:v>75842673.48841242</x:v>
      </x:c>
      <x:c r="G49" s="25" t="n">
        <x:v>11436252.086630391</x:v>
      </x:c>
      <x:c r="H49" s="25" t="n">
        <x:v>74224.42387321958</x:v>
      </x:c>
      <x:c r="I49" s="25" t="n">
        <x:v>50000</x:v>
      </x:c>
      <x:c r="J49" s="25" t="n">
        <x:v>64282196.97790882</x:v>
      </x:c>
      <x:c r="K49" s="30" t="n">
        <x:v>0.015078914759482566</x:v>
      </x:c>
      <x:c r="L49" s="25" t="n">
        <x:v>8475729.298721272</x:v>
      </x:c>
      <x:c r="M49" s="25" t="n">
        <x:v>0.3</x:v>
      </x:c>
      <x:c r="N49" s="25" t="n">
        <x:v>1</x:v>
      </x:c>
      <x:c r="O49" s="25" t="n">
        <x:v>0.6</x:v>
      </x:c>
      <x:c r="P49" s="30" t="n">
        <x:v>0.10000000000000002</x:v>
      </x:c>
      <x:c r="Q49" s="25" t="n">
        <x:v>31749756.10813625</x:v>
      </x:c>
      <x:c r="R49" s="25" t="n">
        <x:v>32532440.86977257</x:v>
      </x:c>
    </x:row>
    <x:row r="50" ht="19" customHeight="1">
      <x:c r="A50" s="30" t="str">
        <x:v>surrogate_rules</x:v>
      </x:c>
      <x:c r="B50" s="25" t="n">
        <x:v>10000</x:v>
      </x:c>
      <x:c r="C50" s="25" t="n">
        <x:v>6359.724239599367</x:v>
      </x:c>
      <x:c r="D50" s="25" t="n">
        <x:v>6486.439612374531</x:v>
      </x:c>
      <x:c r="E50" s="25" t="n">
        <x:v>480297873.26294786</x:v>
      </x:c>
      <x:c r="F50" s="25" t="n">
        <x:v>19211914.930517912</x:v>
      </x:c>
      <x:c r="G50" s="25" t="n">
        <x:v>8692566.175992368</x:v>
      </x:c>
      <x:c r="H50" s="25" t="n">
        <x:v>324321.9806187265</x:v>
      </x:c>
      <x:c r="I50" s="25" t="n">
        <x:v>0</x:v>
      </x:c>
      <x:c r="J50" s="25" t="n">
        <x:v>10195026.773906818</x:v>
      </x:c>
      <x:c r="K50" s="30" t="n">
        <x:v>0.018098281628728893</x:v>
      </x:c>
      <x:c r="L50" s="25" t="n">
        <x:v>2122646.661882128</x:v>
      </x:c>
      <x:c r="M50" s="25" t="n">
        <x:v>0.3</x:v>
      </x:c>
      <x:c r="N50" s="25" t="n">
        <x:v>1</x:v>
      </x:c>
      <x:c r="O50" s="25" t="n">
        <x:v>0.8</x:v>
      </x:c>
      <x:c r="P50" s="30" t="n">
        <x:v>0.039999999999999994</x:v>
      </x:c>
      <x:c r="Q50" s="25" t="n">
        <x:v>10195026.773906818</x:v>
      </x:c>
      <x:c r="R50" s="25" t="n">
        <x:v>0</x:v>
      </x:c>
    </x:row>
    <x:row r="51" ht="19" customHeight="1">
      <x:c r="A51" s="30" t="str">
        <x:v>A_conservative</x:v>
      </x:c>
      <x:c r="B51" s="25" t="n">
        <x:v>10000</x:v>
      </x:c>
      <x:c r="C51" s="25" t="n">
        <x:v>6939.81832766059</x:v>
      </x:c>
      <x:c r="D51" s="25" t="n">
        <x:v>2479.2420924837947</x:v>
      </x:c>
      <x:c r="E51" s="25" t="n">
        <x:v>634480022.5464479</x:v>
      </x:c>
      <x:c r="F51" s="25" t="n">
        <x:v>25379200.901857913</x:v>
      </x:c>
      <x:c r="G51" s="25" t="n">
        <x:v>8212717.063758753</x:v>
      </x:c>
      <x:c r="H51" s="25" t="n">
        <x:v>123962.10462418974</x:v>
      </x:c>
      <x:c r="I51" s="25" t="n">
        <x:v>50000</x:v>
      </x:c>
      <x:c r="J51" s="25" t="n">
        <x:v>16992521.73347497</x:v>
      </x:c>
      <x:c r="K51" s="30" t="n">
        <x:v>0.01294401206013942</x:v>
      </x:c>
      <x:c r="L51" s="25" t="n">
        <x:v>2678180.7353486866</x:v>
      </x:c>
      <x:c r="M51" s="25" t="n">
        <x:v>0.3</x:v>
      </x:c>
      <x:c r="N51" s="25" t="n">
        <x:v>1</x:v>
      </x:c>
      <x:c r="O51" s="25" t="n">
        <x:v>0.8</x:v>
      </x:c>
      <x:c r="P51" s="30" t="n">
        <x:v>0.039999999999999994</x:v>
      </x:c>
      <x:c r="Q51" s="25" t="n">
        <x:v>10195026.773906818</x:v>
      </x:c>
      <x:c r="R51" s="25" t="n">
        <x:v>6797494.959568152</x:v>
      </x:c>
    </x:row>
    <x:row r="52" ht="19" customHeight="1">
      <x:c r="A52" s="30" t="str">
        <x:v>B_balanced</x:v>
      </x:c>
      <x:c r="B52" s="25" t="n">
        <x:v>10000</x:v>
      </x:c>
      <x:c r="C52" s="25" t="n">
        <x:v>8148.372970277712</x:v>
      </x:c>
      <x:c r="D52" s="25" t="n">
        <x:v>1484.4884774643917</x:v>
      </x:c>
      <x:c r="E52" s="25" t="n">
        <x:v>779209573.5686258</x:v>
      </x:c>
      <x:c r="F52" s="25" t="n">
        <x:v>31168382.942745026</x:v>
      </x:c>
      <x:c r="G52" s="25" t="n">
        <x:v>12137359.897673814</x:v>
      </x:c>
      <x:c r="H52" s="25" t="n">
        <x:v>74224.42387321958</x:v>
      </x:c>
      <x:c r="I52" s="25" t="n">
        <x:v>50000</x:v>
      </x:c>
      <x:c r="J52" s="25" t="n">
        <x:v>18906798.621197995</x:v>
      </x:c>
      <x:c r="K52" s="30" t="n">
        <x:v>0.015576502534596828</x:v>
      </x:c>
      <x:c r="L52" s="25" t="n">
        <x:v>2426407.382882707</x:v>
      </x:c>
      <x:c r="M52" s="25" t="n">
        <x:v>0.3</x:v>
      </x:c>
      <x:c r="N52" s="25" t="n">
        <x:v>1</x:v>
      </x:c>
      <x:c r="O52" s="25" t="n">
        <x:v>0.8</x:v>
      </x:c>
      <x:c r="P52" s="30" t="n">
        <x:v>0.039999999999999994</x:v>
      </x:c>
      <x:c r="Q52" s="25" t="n">
        <x:v>10195026.773906818</x:v>
      </x:c>
      <x:c r="R52" s="25" t="n">
        <x:v>8711771.847291177</x:v>
      </x:c>
    </x:row>
    <x:row r="53" ht="19" customHeight="1">
      <x:c r="A53" s="30" t="str">
        <x:v>surrogate_rules</x:v>
      </x:c>
      <x:c r="B53" s="25" t="n">
        <x:v>10000</x:v>
      </x:c>
      <x:c r="C53" s="25" t="n">
        <x:v>6359.724239599367</x:v>
      </x:c>
      <x:c r="D53" s="25" t="n">
        <x:v>6486.439612374531</x:v>
      </x:c>
      <x:c r="E53" s="25" t="n">
        <x:v>480297873.26294786</x:v>
      </x:c>
      <x:c r="F53" s="25" t="n">
        <x:v>33620851.12840635</x:v>
      </x:c>
      <x:c r="G53" s="25" t="n">
        <x:v>8692566.175992368</x:v>
      </x:c>
      <x:c r="H53" s="25" t="n">
        <x:v>324321.9806187265</x:v>
      </x:c>
      <x:c r="I53" s="25" t="n">
        <x:v>0</x:v>
      </x:c>
      <x:c r="J53" s="25" t="n">
        <x:v>24603962.971795257</x:v>
      </x:c>
      <x:c r="K53" s="30" t="n">
        <x:v>0.018098281628728893</x:v>
      </x:c>
      <x:c r="L53" s="25" t="n">
        <x:v>5122646.6618821295</x:v>
      </x:c>
      <x:c r="M53" s="25" t="n">
        <x:v>0.3</x:v>
      </x:c>
      <x:c r="N53" s="25" t="n">
        <x:v>1</x:v>
      </x:c>
      <x:c r="O53" s="25" t="n">
        <x:v>0.8</x:v>
      </x:c>
      <x:c r="P53" s="30" t="n">
        <x:v>0.07</x:v>
      </x:c>
      <x:c r="Q53" s="25" t="n">
        <x:v>24603962.971795257</x:v>
      </x:c>
      <x:c r="R53" s="25" t="n">
        <x:v>0</x:v>
      </x:c>
    </x:row>
    <x:row r="54" ht="19" customHeight="1">
      <x:c r="A54" s="30" t="str">
        <x:v>A_conservative</x:v>
      </x:c>
      <x:c r="B54" s="25" t="n">
        <x:v>10000</x:v>
      </x:c>
      <x:c r="C54" s="25" t="n">
        <x:v>6939.81832766059</x:v>
      </x:c>
      <x:c r="D54" s="25" t="n">
        <x:v>2479.2420924837947</x:v>
      </x:c>
      <x:c r="E54" s="25" t="n">
        <x:v>634480022.5464479</x:v>
      </x:c>
      <x:c r="F54" s="25" t="n">
        <x:v>44413601.578251354</x:v>
      </x:c>
      <x:c r="G54" s="25" t="n">
        <x:v>8212717.063758753</x:v>
      </x:c>
      <x:c r="H54" s="25" t="n">
        <x:v>123962.10462418974</x:v>
      </x:c>
      <x:c r="I54" s="25" t="n">
        <x:v>50000</x:v>
      </x:c>
      <x:c r="J54" s="25" t="n">
        <x:v>36026922.40986841</x:v>
      </x:c>
      <x:c r="K54" s="30" t="n">
        <x:v>0.01294401206013942</x:v>
      </x:c>
      <x:c r="L54" s="25" t="n">
        <x:v>5678180.7353486875</x:v>
      </x:c>
      <x:c r="M54" s="25" t="n">
        <x:v>0.3</x:v>
      </x:c>
      <x:c r="N54" s="25" t="n">
        <x:v>1</x:v>
      </x:c>
      <x:c r="O54" s="25" t="n">
        <x:v>0.8</x:v>
      </x:c>
      <x:c r="P54" s="30" t="n">
        <x:v>0.07</x:v>
      </x:c>
      <x:c r="Q54" s="25" t="n">
        <x:v>24603962.971795257</x:v>
      </x:c>
      <x:c r="R54" s="25" t="n">
        <x:v>11422959.438073155</x:v>
      </x:c>
    </x:row>
    <x:row r="55" ht="19" customHeight="1">
      <x:c r="A55" s="30" t="str">
        <x:v>B_balanced</x:v>
      </x:c>
      <x:c r="B55" s="25" t="n">
        <x:v>10000</x:v>
      </x:c>
      <x:c r="C55" s="25" t="n">
        <x:v>8148.372970277712</x:v>
      </x:c>
      <x:c r="D55" s="25" t="n">
        <x:v>1484.4884774643917</x:v>
      </x:c>
      <x:c r="E55" s="25" t="n">
        <x:v>779209573.5686258</x:v>
      </x:c>
      <x:c r="F55" s="25" t="n">
        <x:v>54544670.14980381</x:v>
      </x:c>
      <x:c r="G55" s="25" t="n">
        <x:v>12137359.897673814</x:v>
      </x:c>
      <x:c r="H55" s="25" t="n">
        <x:v>74224.42387321958</x:v>
      </x:c>
      <x:c r="I55" s="25" t="n">
        <x:v>50000</x:v>
      </x:c>
      <x:c r="J55" s="25" t="n">
        <x:v>42283085.82825678</x:v>
      </x:c>
      <x:c r="K55" s="30" t="n">
        <x:v>0.015576502534596828</x:v>
      </x:c>
      <x:c r="L55" s="25" t="n">
        <x:v>5426407.382882708</x:v>
      </x:c>
      <x:c r="M55" s="25" t="n">
        <x:v>0.3</x:v>
      </x:c>
      <x:c r="N55" s="25" t="n">
        <x:v>1</x:v>
      </x:c>
      <x:c r="O55" s="25" t="n">
        <x:v>0.8</x:v>
      </x:c>
      <x:c r="P55" s="30" t="n">
        <x:v>0.07</x:v>
      </x:c>
      <x:c r="Q55" s="25" t="n">
        <x:v>24603962.971795257</x:v>
      </x:c>
      <x:c r="R55" s="25" t="n">
        <x:v>17679122.85646152</x:v>
      </x:c>
    </x:row>
    <x:row r="56" ht="19" customHeight="1">
      <x:c r="A56" s="30" t="str">
        <x:v>surrogate_rules</x:v>
      </x:c>
      <x:c r="B56" s="25" t="n">
        <x:v>10000</x:v>
      </x:c>
      <x:c r="C56" s="25" t="n">
        <x:v>6359.724239599367</x:v>
      </x:c>
      <x:c r="D56" s="25" t="n">
        <x:v>6486.439612374531</x:v>
      </x:c>
      <x:c r="E56" s="25" t="n">
        <x:v>480297873.26294786</x:v>
      </x:c>
      <x:c r="F56" s="25" t="n">
        <x:v>48029787.326294795</x:v>
      </x:c>
      <x:c r="G56" s="25" t="n">
        <x:v>8692566.175992368</x:v>
      </x:c>
      <x:c r="H56" s="25" t="n">
        <x:v>324321.9806187265</x:v>
      </x:c>
      <x:c r="I56" s="25" t="n">
        <x:v>0</x:v>
      </x:c>
      <x:c r="J56" s="25" t="n">
        <x:v>39012899.169683695</x:v>
      </x:c>
      <x:c r="K56" s="30" t="n">
        <x:v>0.018098281628728893</x:v>
      </x:c>
      <x:c r="L56" s="25" t="n">
        <x:v>8122646.6618821295</x:v>
      </x:c>
      <x:c r="M56" s="25" t="n">
        <x:v>0.3</x:v>
      </x:c>
      <x:c r="N56" s="25" t="n">
        <x:v>1</x:v>
      </x:c>
      <x:c r="O56" s="25" t="n">
        <x:v>0.8</x:v>
      </x:c>
      <x:c r="P56" s="30" t="n">
        <x:v>0.10000000000000002</x:v>
      </x:c>
      <x:c r="Q56" s="25" t="n">
        <x:v>39012899.169683695</x:v>
      </x:c>
      <x:c r="R56" s="25" t="n">
        <x:v>0</x:v>
      </x:c>
    </x:row>
    <x:row r="57" ht="19" customHeight="1">
      <x:c r="A57" s="30" t="str">
        <x:v>A_conservative</x:v>
      </x:c>
      <x:c r="B57" s="25" t="n">
        <x:v>10000</x:v>
      </x:c>
      <x:c r="C57" s="25" t="n">
        <x:v>6939.81832766059</x:v>
      </x:c>
      <x:c r="D57" s="25" t="n">
        <x:v>2479.2420924837947</x:v>
      </x:c>
      <x:c r="E57" s="25" t="n">
        <x:v>634480022.5464479</x:v>
      </x:c>
      <x:c r="F57" s="25" t="n">
        <x:v>63448002.254644796</x:v>
      </x:c>
      <x:c r="G57" s="25" t="n">
        <x:v>8212717.063758753</x:v>
      </x:c>
      <x:c r="H57" s="25" t="n">
        <x:v>123962.10462418974</x:v>
      </x:c>
      <x:c r="I57" s="25" t="n">
        <x:v>50000</x:v>
      </x:c>
      <x:c r="J57" s="25" t="n">
        <x:v>55061323.08626185</x:v>
      </x:c>
      <x:c r="K57" s="30" t="n">
        <x:v>0.01294401206013942</x:v>
      </x:c>
      <x:c r="L57" s="25" t="n">
        <x:v>8678180.735348688</x:v>
      </x:c>
      <x:c r="M57" s="25" t="n">
        <x:v>0.3</x:v>
      </x:c>
      <x:c r="N57" s="25" t="n">
        <x:v>1</x:v>
      </x:c>
      <x:c r="O57" s="25" t="n">
        <x:v>0.8</x:v>
      </x:c>
      <x:c r="P57" s="30" t="n">
        <x:v>0.10000000000000002</x:v>
      </x:c>
      <x:c r="Q57" s="25" t="n">
        <x:v>39012899.169683695</x:v>
      </x:c>
      <x:c r="R57" s="25" t="n">
        <x:v>16048423.916578159</x:v>
      </x:c>
    </x:row>
    <x:row r="58" ht="19" customHeight="1">
      <x:c r="A58" s="30" t="str">
        <x:v>B_balanced</x:v>
      </x:c>
      <x:c r="B58" s="25" t="n">
        <x:v>10000</x:v>
      </x:c>
      <x:c r="C58" s="25" t="n">
        <x:v>8148.372970277712</x:v>
      </x:c>
      <x:c r="D58" s="25" t="n">
        <x:v>1484.4884774643917</x:v>
      </x:c>
      <x:c r="E58" s="25" t="n">
        <x:v>779209573.5686258</x:v>
      </x:c>
      <x:c r="F58" s="25" t="n">
        <x:v>77920957.35686259</x:v>
      </x:c>
      <x:c r="G58" s="25" t="n">
        <x:v>12137359.897673814</x:v>
      </x:c>
      <x:c r="H58" s="25" t="n">
        <x:v>74224.42387321958</x:v>
      </x:c>
      <x:c r="I58" s="25" t="n">
        <x:v>50000</x:v>
      </x:c>
      <x:c r="J58" s="25" t="n">
        <x:v>65659373.03531556</x:v>
      </x:c>
      <x:c r="K58" s="30" t="n">
        <x:v>0.015576502534596828</x:v>
      </x:c>
      <x:c r="L58" s="25" t="n">
        <x:v>8426407.382882709</x:v>
      </x:c>
      <x:c r="M58" s="25" t="n">
        <x:v>0.3</x:v>
      </x:c>
      <x:c r="N58" s="25" t="n">
        <x:v>1</x:v>
      </x:c>
      <x:c r="O58" s="25" t="n">
        <x:v>0.8</x:v>
      </x:c>
      <x:c r="P58" s="30" t="n">
        <x:v>0.10000000000000002</x:v>
      </x:c>
      <x:c r="Q58" s="25" t="n">
        <x:v>39012899.169683695</x:v>
      </x:c>
      <x:c r="R58" s="25" t="n">
        <x:v>26646473.865631863</x:v>
      </x:c>
    </x:row>
    <x:row r="59" ht="19" customHeight="1">
      <x:c r="A59" s="30" t="str">
        <x:v>surrogate_rules</x:v>
      </x:c>
      <x:c r="B59" s="25" t="n">
        <x:v>10000</x:v>
      </x:c>
      <x:c r="C59" s="25" t="n">
        <x:v>3765.1483946495546</x:v>
      </x:c>
      <x:c r="D59" s="25" t="n">
        <x:v>6486.439612374531</x:v>
      </x:c>
      <x:c r="E59" s="25" t="n">
        <x:v>298677564.11646104</x:v>
      </x:c>
      <x:c r="F59" s="25" t="n">
        <x:v>11947102.56465844</x:v>
      </x:c>
      <x:c r="G59" s="25" t="n">
        <x:v>7585232.076657923</x:v>
      </x:c>
      <x:c r="H59" s="25" t="n">
        <x:v>324321.9806187265</x:v>
      </x:c>
      <x:c r="I59" s="25" t="n">
        <x:v>0</x:v>
      </x:c>
      <x:c r="J59" s="25" t="n">
        <x:v>4037548.5073817912</x:v>
      </x:c>
      <x:c r="K59" s="30" t="n">
        <x:v>0.025396055773711453</x:v>
      </x:c>
      <x:c r="L59" s="25" t="n">
        <x:v>1351808.435737564</x:v>
      </x:c>
      <x:c r="M59" s="25" t="n">
        <x:v>0.3</x:v>
      </x:c>
      <x:c r="N59" s="25" t="n">
        <x:v>1.5</x:v>
      </x:c>
      <x:c r="O59" s="25" t="n">
        <x:v>0.4</x:v>
      </x:c>
      <x:c r="P59" s="30" t="n">
        <x:v>0.039999999999999994</x:v>
      </x:c>
      <x:c r="Q59" s="25" t="n">
        <x:v>4037548.5073817912</x:v>
      </x:c>
      <x:c r="R59" s="25" t="n">
        <x:v>0</x:v>
      </x:c>
    </x:row>
    <x:row r="60" ht="19" customHeight="1">
      <x:c r="A60" s="30" t="str">
        <x:v>A_conservative</x:v>
      </x:c>
      <x:c r="B60" s="25" t="n">
        <x:v>10000</x:v>
      </x:c>
      <x:c r="C60" s="25" t="n">
        <x:v>5948.121490667072</x:v>
      </x:c>
      <x:c r="D60" s="25" t="n">
        <x:v>2479.2420924837947</x:v>
      </x:c>
      <x:c r="E60" s="25" t="n">
        <x:v>565061243.9569017</x:v>
      </x:c>
      <x:c r="F60" s="25" t="n">
        <x:v>22602449.758276064</x:v>
      </x:c>
      <x:c r="G60" s="25" t="n">
        <x:v>9871571.964359269</x:v>
      </x:c>
      <x:c r="H60" s="25" t="n">
        <x:v>123962.10462418974</x:v>
      </x:c>
      <x:c r="I60" s="25" t="n">
        <x:v>50000</x:v>
      </x:c>
      <x:c r="J60" s="25" t="n">
        <x:v>12556915.689292606</x:v>
      </x:c>
      <x:c r="K60" s="30" t="n">
        <x:v>0.01746991511085158</x:v>
      </x:c>
      <x:c r="L60" s="25" t="n">
        <x:v>2222222.0730201676</x:v>
      </x:c>
      <x:c r="M60" s="25" t="n">
        <x:v>0.3</x:v>
      </x:c>
      <x:c r="N60" s="25" t="n">
        <x:v>1.5</x:v>
      </x:c>
      <x:c r="O60" s="25" t="n">
        <x:v>0.4</x:v>
      </x:c>
      <x:c r="P60" s="30" t="n">
        <x:v>0.039999999999999994</x:v>
      </x:c>
      <x:c r="Q60" s="25" t="n">
        <x:v>4037548.5073817912</x:v>
      </x:c>
      <x:c r="R60" s="25" t="n">
        <x:v>8519367.181910815</x:v>
      </x:c>
    </x:row>
    <x:row r="61" ht="19" customHeight="1">
      <x:c r="A61" s="30" t="str">
        <x:v>B_balanced</x:v>
      </x:c>
      <x:c r="B61" s="25" t="n">
        <x:v>10000</x:v>
      </x:c>
      <x:c r="C61" s="25" t="n">
        <x:v>7554.577579291957</x:v>
      </x:c>
      <x:c r="D61" s="25" t="n">
        <x:v>1484.4884774643917</x:v>
      </x:c>
      <x:c r="E61" s="25" t="n">
        <x:v>737643896.1996229</x:v>
      </x:c>
      <x:c r="F61" s="25" t="n">
        <x:v>29505755.84798491</x:v>
      </x:c>
      <x:c r="G61" s="25" t="n">
        <x:v>16102716.413380448</x:v>
      </x:c>
      <x:c r="H61" s="25" t="n">
        <x:v>74224.42387321958</x:v>
      </x:c>
      <x:c r="I61" s="25" t="n">
        <x:v>50000</x:v>
      </x:c>
      <x:c r="J61" s="25" t="n">
        <x:v>13278815.010731243</x:v>
      </x:c>
      <x:c r="K61" s="30" t="n">
        <x:v>0.021829932432631007</x:v>
      </x:c>
      <x:c r="L61" s="25" t="n">
        <x:v>1800166.0529076892</x:v>
      </x:c>
      <x:c r="M61" s="25" t="n">
        <x:v>0.3</x:v>
      </x:c>
      <x:c r="N61" s="25" t="n">
        <x:v>1.5</x:v>
      </x:c>
      <x:c r="O61" s="25" t="n">
        <x:v>0.4</x:v>
      </x:c>
      <x:c r="P61" s="30" t="n">
        <x:v>0.039999999999999994</x:v>
      </x:c>
      <x:c r="Q61" s="25" t="n">
        <x:v>4037548.5073817912</x:v>
      </x:c>
      <x:c r="R61" s="25" t="n">
        <x:v>9241266.503349451</x:v>
      </x:c>
    </x:row>
    <x:row r="62" ht="19" customHeight="1">
      <x:c r="A62" s="30" t="str">
        <x:v>surrogate_rules</x:v>
      </x:c>
      <x:c r="B62" s="25" t="n">
        <x:v>10000</x:v>
      </x:c>
      <x:c r="C62" s="25" t="n">
        <x:v>3765.1483946495546</x:v>
      </x:c>
      <x:c r="D62" s="25" t="n">
        <x:v>6486.439612374531</x:v>
      </x:c>
      <x:c r="E62" s="25" t="n">
        <x:v>298677564.11646104</x:v>
      </x:c>
      <x:c r="F62" s="25" t="n">
        <x:v>20907429.488152273</x:v>
      </x:c>
      <x:c r="G62" s="25" t="n">
        <x:v>7585232.076657923</x:v>
      </x:c>
      <x:c r="H62" s="25" t="n">
        <x:v>324321.9806187265</x:v>
      </x:c>
      <x:c r="I62" s="25" t="n">
        <x:v>0</x:v>
      </x:c>
      <x:c r="J62" s="25" t="n">
        <x:v>12997875.430875624</x:v>
      </x:c>
      <x:c r="K62" s="30" t="n">
        <x:v>0.025396055773711453</x:v>
      </x:c>
      <x:c r="L62" s="25" t="n">
        <x:v>4351808.435737564</x:v>
      </x:c>
      <x:c r="M62" s="25" t="n">
        <x:v>0.3</x:v>
      </x:c>
      <x:c r="N62" s="25" t="n">
        <x:v>1.5</x:v>
      </x:c>
      <x:c r="O62" s="25" t="n">
        <x:v>0.4</x:v>
      </x:c>
      <x:c r="P62" s="30" t="n">
        <x:v>0.07</x:v>
      </x:c>
      <x:c r="Q62" s="25" t="n">
        <x:v>12997875.430875624</x:v>
      </x:c>
      <x:c r="R62" s="25" t="n">
        <x:v>0</x:v>
      </x:c>
    </x:row>
    <x:row r="63" ht="19" customHeight="1">
      <x:c r="A63" s="30" t="str">
        <x:v>A_conservative</x:v>
      </x:c>
      <x:c r="B63" s="25" t="n">
        <x:v>10000</x:v>
      </x:c>
      <x:c r="C63" s="25" t="n">
        <x:v>5948.121490667072</x:v>
      </x:c>
      <x:c r="D63" s="25" t="n">
        <x:v>2479.2420924837947</x:v>
      </x:c>
      <x:c r="E63" s="25" t="n">
        <x:v>565061243.9569017</x:v>
      </x:c>
      <x:c r="F63" s="25" t="n">
        <x:v>39554287.076983124</x:v>
      </x:c>
      <x:c r="G63" s="25" t="n">
        <x:v>9871571.964359269</x:v>
      </x:c>
      <x:c r="H63" s="25" t="n">
        <x:v>123962.10462418974</x:v>
      </x:c>
      <x:c r="I63" s="25" t="n">
        <x:v>50000</x:v>
      </x:c>
      <x:c r="J63" s="25" t="n">
        <x:v>29508753.007999666</x:v>
      </x:c>
      <x:c r="K63" s="30" t="n">
        <x:v>0.01746991511085158</x:v>
      </x:c>
      <x:c r="L63" s="25" t="n">
        <x:v>5222222.0730201695</x:v>
      </x:c>
      <x:c r="M63" s="25" t="n">
        <x:v>0.3</x:v>
      </x:c>
      <x:c r="N63" s="25" t="n">
        <x:v>1.5</x:v>
      </x:c>
      <x:c r="O63" s="25" t="n">
        <x:v>0.4</x:v>
      </x:c>
      <x:c r="P63" s="30" t="n">
        <x:v>0.07</x:v>
      </x:c>
      <x:c r="Q63" s="25" t="n">
        <x:v>12997875.430875624</x:v>
      </x:c>
      <x:c r="R63" s="25" t="n">
        <x:v>16510877.577124042</x:v>
      </x:c>
    </x:row>
    <x:row r="64" ht="19" customHeight="1">
      <x:c r="A64" s="30" t="str">
        <x:v>B_balanced</x:v>
      </x:c>
      <x:c r="B64" s="25" t="n">
        <x:v>10000</x:v>
      </x:c>
      <x:c r="C64" s="25" t="n">
        <x:v>7554.577579291957</x:v>
      </x:c>
      <x:c r="D64" s="25" t="n">
        <x:v>1484.4884774643917</x:v>
      </x:c>
      <x:c r="E64" s="25" t="n">
        <x:v>737643896.1996229</x:v>
      </x:c>
      <x:c r="F64" s="25" t="n">
        <x:v>51635072.73397361</x:v>
      </x:c>
      <x:c r="G64" s="25" t="n">
        <x:v>16102716.413380448</x:v>
      </x:c>
      <x:c r="H64" s="25" t="n">
        <x:v>74224.42387321958</x:v>
      </x:c>
      <x:c r="I64" s="25" t="n">
        <x:v>50000</x:v>
      </x:c>
      <x:c r="J64" s="25" t="n">
        <x:v>35408131.89671995</x:v>
      </x:c>
      <x:c r="K64" s="30" t="n">
        <x:v>0.021829932432631007</x:v>
      </x:c>
      <x:c r="L64" s="25" t="n">
        <x:v>4800166.052907691</x:v>
      </x:c>
      <x:c r="M64" s="25" t="n">
        <x:v>0.3</x:v>
      </x:c>
      <x:c r="N64" s="25" t="n">
        <x:v>1.5</x:v>
      </x:c>
      <x:c r="O64" s="25" t="n">
        <x:v>0.4</x:v>
      </x:c>
      <x:c r="P64" s="30" t="n">
        <x:v>0.07</x:v>
      </x:c>
      <x:c r="Q64" s="25" t="n">
        <x:v>12997875.430875624</x:v>
      </x:c>
      <x:c r="R64" s="25" t="n">
        <x:v>22410256.465844326</x:v>
      </x:c>
    </x:row>
    <x:row r="65" ht="19" customHeight="1">
      <x:c r="A65" s="30" t="str">
        <x:v>surrogate_rules</x:v>
      </x:c>
      <x:c r="B65" s="25" t="n">
        <x:v>10000</x:v>
      </x:c>
      <x:c r="C65" s="25" t="n">
        <x:v>3765.1483946495546</x:v>
      </x:c>
      <x:c r="D65" s="25" t="n">
        <x:v>6486.439612374531</x:v>
      </x:c>
      <x:c r="E65" s="25" t="n">
        <x:v>298677564.11646104</x:v>
      </x:c>
      <x:c r="F65" s="25" t="n">
        <x:v>29867756.41164611</x:v>
      </x:c>
      <x:c r="G65" s="25" t="n">
        <x:v>7585232.076657923</x:v>
      </x:c>
      <x:c r="H65" s="25" t="n">
        <x:v>324321.9806187265</x:v>
      </x:c>
      <x:c r="I65" s="25" t="n">
        <x:v>0</x:v>
      </x:c>
      <x:c r="J65" s="25" t="n">
        <x:v>21958202.354369458</x:v>
      </x:c>
      <x:c r="K65" s="30" t="n">
        <x:v>0.025396055773711453</x:v>
      </x:c>
      <x:c r="L65" s="25" t="n">
        <x:v>7351808.435737565</x:v>
      </x:c>
      <x:c r="M65" s="25" t="n">
        <x:v>0.3</x:v>
      </x:c>
      <x:c r="N65" s="25" t="n">
        <x:v>1.5</x:v>
      </x:c>
      <x:c r="O65" s="25" t="n">
        <x:v>0.4</x:v>
      </x:c>
      <x:c r="P65" s="30" t="n">
        <x:v>0.10000000000000002</x:v>
      </x:c>
      <x:c r="Q65" s="25" t="n">
        <x:v>21958202.354369458</x:v>
      </x:c>
      <x:c r="R65" s="25" t="n">
        <x:v>0</x:v>
      </x:c>
    </x:row>
    <x:row r="66" ht="19" customHeight="1">
      <x:c r="A66" s="30" t="str">
        <x:v>A_conservative</x:v>
      </x:c>
      <x:c r="B66" s="25" t="n">
        <x:v>10000</x:v>
      </x:c>
      <x:c r="C66" s="25" t="n">
        <x:v>5948.121490667072</x:v>
      </x:c>
      <x:c r="D66" s="25" t="n">
        <x:v>2479.2420924837947</x:v>
      </x:c>
      <x:c r="E66" s="25" t="n">
        <x:v>565061243.9569017</x:v>
      </x:c>
      <x:c r="F66" s="25" t="n">
        <x:v>56506124.39569018</x:v>
      </x:c>
      <x:c r="G66" s="25" t="n">
        <x:v>9871571.964359269</x:v>
      </x:c>
      <x:c r="H66" s="25" t="n">
        <x:v>123962.10462418974</x:v>
      </x:c>
      <x:c r="I66" s="25" t="n">
        <x:v>50000</x:v>
      </x:c>
      <x:c r="J66" s="25" t="n">
        <x:v>46460590.32670672</x:v>
      </x:c>
      <x:c r="K66" s="30" t="n">
        <x:v>0.01746991511085158</x:v>
      </x:c>
      <x:c r="L66" s="25" t="n">
        <x:v>8222222.07302017</x:v>
      </x:c>
      <x:c r="M66" s="25" t="n">
        <x:v>0.3</x:v>
      </x:c>
      <x:c r="N66" s="25" t="n">
        <x:v>1.5</x:v>
      </x:c>
      <x:c r="O66" s="25" t="n">
        <x:v>0.4</x:v>
      </x:c>
      <x:c r="P66" s="30" t="n">
        <x:v>0.10000000000000002</x:v>
      </x:c>
      <x:c r="Q66" s="25" t="n">
        <x:v>21958202.354369458</x:v>
      </x:c>
      <x:c r="R66" s="25" t="n">
        <x:v>24502387.972337265</x:v>
      </x:c>
    </x:row>
    <x:row r="67" ht="19" customHeight="1">
      <x:c r="A67" s="30" t="str">
        <x:v>B_balanced</x:v>
      </x:c>
      <x:c r="B67" s="25" t="n">
        <x:v>10000</x:v>
      </x:c>
      <x:c r="C67" s="25" t="n">
        <x:v>7554.577579291957</x:v>
      </x:c>
      <x:c r="D67" s="25" t="n">
        <x:v>1484.4884774643917</x:v>
      </x:c>
      <x:c r="E67" s="25" t="n">
        <x:v>737643896.1996229</x:v>
      </x:c>
      <x:c r="F67" s="25" t="n">
        <x:v>73764389.6199623</x:v>
      </x:c>
      <x:c r="G67" s="25" t="n">
        <x:v>16102716.413380448</x:v>
      </x:c>
      <x:c r="H67" s="25" t="n">
        <x:v>74224.42387321958</x:v>
      </x:c>
      <x:c r="I67" s="25" t="n">
        <x:v>50000</x:v>
      </x:c>
      <x:c r="J67" s="25" t="n">
        <x:v>57537448.782708645</x:v>
      </x:c>
      <x:c r="K67" s="30" t="n">
        <x:v>0.021829932432631007</x:v>
      </x:c>
      <x:c r="L67" s="25" t="n">
        <x:v>7800166.052907693</x:v>
      </x:c>
      <x:c r="M67" s="25" t="n">
        <x:v>0.3</x:v>
      </x:c>
      <x:c r="N67" s="25" t="n">
        <x:v>1.5</x:v>
      </x:c>
      <x:c r="O67" s="25" t="n">
        <x:v>0.4</x:v>
      </x:c>
      <x:c r="P67" s="30" t="n">
        <x:v>0.10000000000000002</x:v>
      </x:c>
      <x:c r="Q67" s="25" t="n">
        <x:v>21958202.354369458</x:v>
      </x:c>
      <x:c r="R67" s="25" t="n">
        <x:v>35579246.42833918</x:v>
      </x:c>
    </x:row>
    <x:row r="68" ht="19" customHeight="1">
      <x:c r="A68" s="30" t="str">
        <x:v>surrogate_rules</x:v>
      </x:c>
      <x:c r="B68" s="25" t="n">
        <x:v>10000</x:v>
      </x:c>
      <x:c r="C68" s="25" t="n">
        <x:v>5062.43631712446</x:v>
      </x:c>
      <x:c r="D68" s="25" t="n">
        <x:v>6486.439612374531</x:v>
      </x:c>
      <x:c r="E68" s="25" t="n">
        <x:v>389487718.6897046</x:v>
      </x:c>
      <x:c r="F68" s="25" t="n">
        <x:v>15579508.747588182</x:v>
      </x:c>
      <x:c r="G68" s="25" t="n">
        <x:v>10312040.670323238</x:v>
      </x:c>
      <x:c r="H68" s="25" t="n">
        <x:v>324321.9806187265</x:v>
      </x:c>
      <x:c r="I68" s="25" t="n">
        <x:v>0</x:v>
      </x:c>
      <x:c r="J68" s="25" t="n">
        <x:v>4943146.096646218</x:v>
      </x:c>
      <x:c r="K68" s="30" t="n">
        <x:v>0.02647590713518387</x:v>
      </x:c>
      <x:c r="L68" s="25" t="n">
        <x:v>1269140.4271425314</x:v>
      </x:c>
      <x:c r="M68" s="25" t="n">
        <x:v>0.3</x:v>
      </x:c>
      <x:c r="N68" s="25" t="n">
        <x:v>1.5</x:v>
      </x:c>
      <x:c r="O68" s="25" t="n">
        <x:v>0.6</x:v>
      </x:c>
      <x:c r="P68" s="30" t="n">
        <x:v>0.039999999999999994</x:v>
      </x:c>
      <x:c r="Q68" s="25" t="n">
        <x:v>4943146.096646218</x:v>
      </x:c>
      <x:c r="R68" s="25" t="n">
        <x:v>0</x:v>
      </x:c>
    </x:row>
    <x:row r="69" ht="19" customHeight="1">
      <x:c r="A69" s="30" t="str">
        <x:v>A_conservative</x:v>
      </x:c>
      <x:c r="B69" s="25" t="n">
        <x:v>10000</x:v>
      </x:c>
      <x:c r="C69" s="25" t="n">
        <x:v>6443.96990916383</x:v>
      </x:c>
      <x:c r="D69" s="25" t="n">
        <x:v>2479.2420924837947</x:v>
      </x:c>
      <x:c r="E69" s="25" t="n">
        <x:v>599770633.2516748</x:v>
      </x:c>
      <x:c r="F69" s="25" t="n">
        <x:v>23990825.330066986</x:v>
      </x:c>
      <x:c r="G69" s="25" t="n">
        <x:v>11095323.7799987</x:v>
      </x:c>
      <x:c r="H69" s="25" t="n">
        <x:v>123962.10462418974</x:v>
      </x:c>
      <x:c r="I69" s="25" t="n">
        <x:v>50000</x:v>
      </x:c>
      <x:c r="J69" s="25" t="n">
        <x:v>12721539.445444098</x:v>
      </x:c>
      <x:c r="K69" s="30" t="n">
        <x:v>0.018499278165463127</x:v>
      </x:c>
      <x:c r="L69" s="25" t="n">
        <x:v>2121067.411465927</x:v>
      </x:c>
      <x:c r="M69" s="25" t="n">
        <x:v>0.3</x:v>
      </x:c>
      <x:c r="N69" s="25" t="n">
        <x:v>1.5</x:v>
      </x:c>
      <x:c r="O69" s="25" t="n">
        <x:v>0.6</x:v>
      </x:c>
      <x:c r="P69" s="30" t="n">
        <x:v>0.039999999999999994</x:v>
      </x:c>
      <x:c r="Q69" s="25" t="n">
        <x:v>4943146.096646218</x:v>
      </x:c>
      <x:c r="R69" s="25" t="n">
        <x:v>7778393.34879788</x:v>
      </x:c>
    </x:row>
    <x:row r="70" ht="19" customHeight="1">
      <x:c r="A70" s="30" t="str">
        <x:v>B_balanced</x:v>
      </x:c>
      <x:c r="B70" s="25" t="n">
        <x:v>10000</x:v>
      </x:c>
      <x:c r="C70" s="25" t="n">
        <x:v>7851.4752747848315</x:v>
      </x:c>
      <x:c r="D70" s="25" t="n">
        <x:v>1484.4884774643917</x:v>
      </x:c>
      <x:c r="E70" s="25" t="n">
        <x:v>758426734.8841242</x:v>
      </x:c>
      <x:c r="F70" s="25" t="n">
        <x:v>30337069.395364963</x:v>
      </x:c>
      <x:c r="G70" s="25" t="n">
        <x:v>17154378.129945587</x:v>
      </x:c>
      <x:c r="H70" s="25" t="n">
        <x:v>74224.42387321958</x:v>
      </x:c>
      <x:c r="I70" s="25" t="n">
        <x:v>50000</x:v>
      </x:c>
      <x:c r="J70" s="25" t="n">
        <x:v>13058466.841546156</x:v>
      </x:c>
      <x:c r="K70" s="30" t="n">
        <x:v>0.02261837213922385</x:v>
      </x:c>
      <x:c r="L70" s="25" t="n">
        <x:v>1721783.5607471415</x:v>
      </x:c>
      <x:c r="M70" s="25" t="n">
        <x:v>0.3</x:v>
      </x:c>
      <x:c r="N70" s="25" t="n">
        <x:v>1.5</x:v>
      </x:c>
      <x:c r="O70" s="25" t="n">
        <x:v>0.6</x:v>
      </x:c>
      <x:c r="P70" s="30" t="n">
        <x:v>0.039999999999999994</x:v>
      </x:c>
      <x:c r="Q70" s="25" t="n">
        <x:v>4943146.096646218</x:v>
      </x:c>
      <x:c r="R70" s="25" t="n">
        <x:v>8115320.744899938</x:v>
      </x:c>
    </x:row>
    <x:row r="71" ht="19" customHeight="1">
      <x:c r="A71" s="30" t="str">
        <x:v>surrogate_rules</x:v>
      </x:c>
      <x:c r="B71" s="25" t="n">
        <x:v>10000</x:v>
      </x:c>
      <x:c r="C71" s="25" t="n">
        <x:v>5062.43631712446</x:v>
      </x:c>
      <x:c r="D71" s="25" t="n">
        <x:v>6486.439612374531</x:v>
      </x:c>
      <x:c r="E71" s="25" t="n">
        <x:v>389487718.6897046</x:v>
      </x:c>
      <x:c r="F71" s="25" t="n">
        <x:v>27264140.308279324</x:v>
      </x:c>
      <x:c r="G71" s="25" t="n">
        <x:v>10312040.670323238</x:v>
      </x:c>
      <x:c r="H71" s="25" t="n">
        <x:v>324321.9806187265</x:v>
      </x:c>
      <x:c r="I71" s="25" t="n">
        <x:v>0</x:v>
      </x:c>
      <x:c r="J71" s="25" t="n">
        <x:v>16627777.65733736</x:v>
      </x:c>
      <x:c r="K71" s="30" t="n">
        <x:v>0.02647590713518387</x:v>
      </x:c>
      <x:c r="L71" s="25" t="n">
        <x:v>4269140.427142533</x:v>
      </x:c>
      <x:c r="M71" s="25" t="n">
        <x:v>0.3</x:v>
      </x:c>
      <x:c r="N71" s="25" t="n">
        <x:v>1.5</x:v>
      </x:c>
      <x:c r="O71" s="25" t="n">
        <x:v>0.6</x:v>
      </x:c>
      <x:c r="P71" s="30" t="n">
        <x:v>0.07</x:v>
      </x:c>
      <x:c r="Q71" s="25" t="n">
        <x:v>16627777.65733736</x:v>
      </x:c>
      <x:c r="R71" s="25" t="n">
        <x:v>0</x:v>
      </x:c>
    </x:row>
    <x:row r="72" ht="19" customHeight="1">
      <x:c r="A72" s="30" t="str">
        <x:v>A_conservative</x:v>
      </x:c>
      <x:c r="B72" s="25" t="n">
        <x:v>10000</x:v>
      </x:c>
      <x:c r="C72" s="25" t="n">
        <x:v>6443.96990916383</x:v>
      </x:c>
      <x:c r="D72" s="25" t="n">
        <x:v>2479.2420924837947</x:v>
      </x:c>
      <x:c r="E72" s="25" t="n">
        <x:v>599770633.2516748</x:v>
      </x:c>
      <x:c r="F72" s="25" t="n">
        <x:v>41983944.327617235</x:v>
      </x:c>
      <x:c r="G72" s="25" t="n">
        <x:v>11095323.7799987</x:v>
      </x:c>
      <x:c r="H72" s="25" t="n">
        <x:v>123962.10462418974</x:v>
      </x:c>
      <x:c r="I72" s="25" t="n">
        <x:v>50000</x:v>
      </x:c>
      <x:c r="J72" s="25" t="n">
        <x:v>30714658.44299435</x:v>
      </x:c>
      <x:c r="K72" s="30" t="n">
        <x:v>0.018499278165463127</x:v>
      </x:c>
      <x:c r="L72" s="25" t="n">
        <x:v>5121067.411465929</x:v>
      </x:c>
      <x:c r="M72" s="25" t="n">
        <x:v>0.3</x:v>
      </x:c>
      <x:c r="N72" s="25" t="n">
        <x:v>1.5</x:v>
      </x:c>
      <x:c r="O72" s="25" t="n">
        <x:v>0.6</x:v>
      </x:c>
      <x:c r="P72" s="30" t="n">
        <x:v>0.07</x:v>
      </x:c>
      <x:c r="Q72" s="25" t="n">
        <x:v>16627777.65733736</x:v>
      </x:c>
      <x:c r="R72" s="25" t="n">
        <x:v>14086880.785656989</x:v>
      </x:c>
    </x:row>
    <x:row r="73" ht="19" customHeight="1">
      <x:c r="A73" s="30" t="str">
        <x:v>B_balanced</x:v>
      </x:c>
      <x:c r="B73" s="25" t="n">
        <x:v>10000</x:v>
      </x:c>
      <x:c r="C73" s="25" t="n">
        <x:v>7851.4752747848315</x:v>
      </x:c>
      <x:c r="D73" s="25" t="n">
        <x:v>1484.4884774643917</x:v>
      </x:c>
      <x:c r="E73" s="25" t="n">
        <x:v>758426734.8841242</x:v>
      </x:c>
      <x:c r="F73" s="25" t="n">
        <x:v>53089871.4418887</x:v>
      </x:c>
      <x:c r="G73" s="25" t="n">
        <x:v>17154378.129945587</x:v>
      </x:c>
      <x:c r="H73" s="25" t="n">
        <x:v>74224.42387321958</x:v>
      </x:c>
      <x:c r="I73" s="25" t="n">
        <x:v>50000</x:v>
      </x:c>
      <x:c r="J73" s="25" t="n">
        <x:v>35811268.8880699</x:v>
      </x:c>
      <x:c r="K73" s="30" t="n">
        <x:v>0.02261837213922385</x:v>
      </x:c>
      <x:c r="L73" s="25" t="n">
        <x:v>4721783.560747144</x:v>
      </x:c>
      <x:c r="M73" s="25" t="n">
        <x:v>0.3</x:v>
      </x:c>
      <x:c r="N73" s="25" t="n">
        <x:v>1.5</x:v>
      </x:c>
      <x:c r="O73" s="25" t="n">
        <x:v>0.6</x:v>
      </x:c>
      <x:c r="P73" s="30" t="n">
        <x:v>0.07</x:v>
      </x:c>
      <x:c r="Q73" s="25" t="n">
        <x:v>16627777.65733736</x:v>
      </x:c>
      <x:c r="R73" s="25" t="n">
        <x:v>19183491.230732538</x:v>
      </x:c>
    </x:row>
    <x:row r="74" ht="19" customHeight="1">
      <x:c r="A74" s="30" t="str">
        <x:v>surrogate_rules</x:v>
      </x:c>
      <x:c r="B74" s="25" t="n">
        <x:v>10000</x:v>
      </x:c>
      <x:c r="C74" s="25" t="n">
        <x:v>5062.43631712446</x:v>
      </x:c>
      <x:c r="D74" s="25" t="n">
        <x:v>6486.439612374531</x:v>
      </x:c>
      <x:c r="E74" s="25" t="n">
        <x:v>389487718.6897046</x:v>
      </x:c>
      <x:c r="F74" s="25" t="n">
        <x:v>38948771.86897047</x:v>
      </x:c>
      <x:c r="G74" s="25" t="n">
        <x:v>10312040.670323238</x:v>
      </x:c>
      <x:c r="H74" s="25" t="n">
        <x:v>324321.9806187265</x:v>
      </x:c>
      <x:c r="I74" s="25" t="n">
        <x:v>0</x:v>
      </x:c>
      <x:c r="J74" s="25" t="n">
        <x:v>28312409.218028504</x:v>
      </x:c>
      <x:c r="K74" s="30" t="n">
        <x:v>0.02647590713518387</x:v>
      </x:c>
      <x:c r="L74" s="25" t="n">
        <x:v>7269140.427142534</x:v>
      </x:c>
      <x:c r="M74" s="25" t="n">
        <x:v>0.3</x:v>
      </x:c>
      <x:c r="N74" s="25" t="n">
        <x:v>1.5</x:v>
      </x:c>
      <x:c r="O74" s="25" t="n">
        <x:v>0.6</x:v>
      </x:c>
      <x:c r="P74" s="30" t="n">
        <x:v>0.10000000000000002</x:v>
      </x:c>
      <x:c r="Q74" s="25" t="n">
        <x:v>28312409.218028504</x:v>
      </x:c>
      <x:c r="R74" s="25" t="n">
        <x:v>0</x:v>
      </x:c>
    </x:row>
    <x:row r="75" ht="19" customHeight="1">
      <x:c r="A75" s="30" t="str">
        <x:v>A_conservative</x:v>
      </x:c>
      <x:c r="B75" s="25" t="n">
        <x:v>10000</x:v>
      </x:c>
      <x:c r="C75" s="25" t="n">
        <x:v>6443.96990916383</x:v>
      </x:c>
      <x:c r="D75" s="25" t="n">
        <x:v>2479.2420924837947</x:v>
      </x:c>
      <x:c r="E75" s="25" t="n">
        <x:v>599770633.2516748</x:v>
      </x:c>
      <x:c r="F75" s="25" t="n">
        <x:v>59977063.32516749</x:v>
      </x:c>
      <x:c r="G75" s="25" t="n">
        <x:v>11095323.7799987</x:v>
      </x:c>
      <x:c r="H75" s="25" t="n">
        <x:v>123962.10462418974</x:v>
      </x:c>
      <x:c r="I75" s="25" t="n">
        <x:v>50000</x:v>
      </x:c>
      <x:c r="J75" s="25" t="n">
        <x:v>48707777.440544605</x:v>
      </x:c>
      <x:c r="K75" s="30" t="n">
        <x:v>0.018499278165463127</x:v>
      </x:c>
      <x:c r="L75" s="25" t="n">
        <x:v>8121067.411465931</x:v>
      </x:c>
      <x:c r="M75" s="25" t="n">
        <x:v>0.3</x:v>
      </x:c>
      <x:c r="N75" s="25" t="n">
        <x:v>1.5</x:v>
      </x:c>
      <x:c r="O75" s="25" t="n">
        <x:v>0.6</x:v>
      </x:c>
      <x:c r="P75" s="30" t="n">
        <x:v>0.10000000000000002</x:v>
      </x:c>
      <x:c r="Q75" s="25" t="n">
        <x:v>28312409.218028504</x:v>
      </x:c>
      <x:c r="R75" s="25" t="n">
        <x:v>20395368.2225161</x:v>
      </x:c>
    </x:row>
    <x:row r="76" ht="19" customHeight="1">
      <x:c r="A76" s="30" t="str">
        <x:v>B_balanced</x:v>
      </x:c>
      <x:c r="B76" s="25" t="n">
        <x:v>10000</x:v>
      </x:c>
      <x:c r="C76" s="25" t="n">
        <x:v>7851.4752747848315</x:v>
      </x:c>
      <x:c r="D76" s="25" t="n">
        <x:v>1484.4884774643917</x:v>
      </x:c>
      <x:c r="E76" s="25" t="n">
        <x:v>758426734.8841242</x:v>
      </x:c>
      <x:c r="F76" s="25" t="n">
        <x:v>75842673.48841242</x:v>
      </x:c>
      <x:c r="G76" s="25" t="n">
        <x:v>17154378.129945587</x:v>
      </x:c>
      <x:c r="H76" s="25" t="n">
        <x:v>74224.42387321958</x:v>
      </x:c>
      <x:c r="I76" s="25" t="n">
        <x:v>50000</x:v>
      </x:c>
      <x:c r="J76" s="25" t="n">
        <x:v>58564070.93459362</x:v>
      </x:c>
      <x:c r="K76" s="30" t="n">
        <x:v>0.02261837213922385</x:v>
      </x:c>
      <x:c r="L76" s="25" t="n">
        <x:v>7721783.560747143</x:v>
      </x:c>
      <x:c r="M76" s="25" t="n">
        <x:v>0.3</x:v>
      </x:c>
      <x:c r="N76" s="25" t="n">
        <x:v>1.5</x:v>
      </x:c>
      <x:c r="O76" s="25" t="n">
        <x:v>0.6</x:v>
      </x:c>
      <x:c r="P76" s="30" t="n">
        <x:v>0.10000000000000002</x:v>
      </x:c>
      <x:c r="Q76" s="25" t="n">
        <x:v>28312409.218028504</x:v>
      </x:c>
      <x:c r="R76" s="25" t="n">
        <x:v>30251661.716565114</x:v>
      </x:c>
    </x:row>
    <x:row r="77" ht="19" customHeight="1">
      <x:c r="A77" s="30" t="str">
        <x:v>surrogate_rules</x:v>
      </x:c>
      <x:c r="B77" s="25" t="n">
        <x:v>10000</x:v>
      </x:c>
      <x:c r="C77" s="25" t="n">
        <x:v>6359.724239599367</x:v>
      </x:c>
      <x:c r="D77" s="25" t="n">
        <x:v>6486.439612374531</x:v>
      </x:c>
      <x:c r="E77" s="25" t="n">
        <x:v>480297873.26294786</x:v>
      </x:c>
      <x:c r="F77" s="25" t="n">
        <x:v>19211914.930517912</x:v>
      </x:c>
      <x:c r="G77" s="25" t="n">
        <x:v>13038849.26398855</x:v>
      </x:c>
      <x:c r="H77" s="25" t="n">
        <x:v>324321.9806187265</x:v>
      </x:c>
      <x:c r="I77" s="25" t="n">
        <x:v>0</x:v>
      </x:c>
      <x:c r="J77" s="25" t="n">
        <x:v>5848743.685910635</x:v>
      </x:c>
      <x:c r="K77" s="30" t="n">
        <x:v>0.027147422443093337</x:v>
      </x:c>
      <x:c r="L77" s="25" t="n">
        <x:v>1217732.5804456838</x:v>
      </x:c>
      <x:c r="M77" s="25" t="n">
        <x:v>0.3</x:v>
      </x:c>
      <x:c r="N77" s="25" t="n">
        <x:v>1.5</x:v>
      </x:c>
      <x:c r="O77" s="25" t="n">
        <x:v>0.8</x:v>
      </x:c>
      <x:c r="P77" s="30" t="n">
        <x:v>0.039999999999999994</x:v>
      </x:c>
      <x:c r="Q77" s="25" t="n">
        <x:v>5848743.685910635</x:v>
      </x:c>
      <x:c r="R77" s="25" t="n">
        <x:v>0</x:v>
      </x:c>
    </x:row>
    <x:row r="78" ht="19" customHeight="1">
      <x:c r="A78" s="30" t="str">
        <x:v>A_conservative</x:v>
      </x:c>
      <x:c r="B78" s="25" t="n">
        <x:v>10000</x:v>
      </x:c>
      <x:c r="C78" s="25" t="n">
        <x:v>6939.81832766059</x:v>
      </x:c>
      <x:c r="D78" s="25" t="n">
        <x:v>2479.2420924837947</x:v>
      </x:c>
      <x:c r="E78" s="25" t="n">
        <x:v>634480022.5464479</x:v>
      </x:c>
      <x:c r="F78" s="25" t="n">
        <x:v>25379200.901857913</x:v>
      </x:c>
      <x:c r="G78" s="25" t="n">
        <x:v>12319075.59563813</x:v>
      </x:c>
      <x:c r="H78" s="25" t="n">
        <x:v>123962.10462418974</x:v>
      </x:c>
      <x:c r="I78" s="25" t="n">
        <x:v>50000</x:v>
      </x:c>
      <x:c r="J78" s="25" t="n">
        <x:v>12886163.201595593</x:v>
      </x:c>
      <x:c r="K78" s="30" t="n">
        <x:v>0.019416018090209132</x:v>
      </x:c>
      <x:c r="L78" s="25" t="n">
        <x:v>2030980.1323417157</x:v>
      </x:c>
      <x:c r="M78" s="25" t="n">
        <x:v>0.3</x:v>
      </x:c>
      <x:c r="N78" s="25" t="n">
        <x:v>1.5</x:v>
      </x:c>
      <x:c r="O78" s="25" t="n">
        <x:v>0.8</x:v>
      </x:c>
      <x:c r="P78" s="30" t="n">
        <x:v>0.039999999999999994</x:v>
      </x:c>
      <x:c r="Q78" s="25" t="n">
        <x:v>5848743.685910635</x:v>
      </x:c>
      <x:c r="R78" s="25" t="n">
        <x:v>7037419.515684959</x:v>
      </x:c>
    </x:row>
    <x:row r="79" ht="19" customHeight="1">
      <x:c r="A79" s="30" t="str">
        <x:v>B_balanced</x:v>
      </x:c>
      <x:c r="B79" s="25" t="n">
        <x:v>10000</x:v>
      </x:c>
      <x:c r="C79" s="25" t="n">
        <x:v>8148.372970277712</x:v>
      </x:c>
      <x:c r="D79" s="25" t="n">
        <x:v>1484.4884774643917</x:v>
      </x:c>
      <x:c r="E79" s="25" t="n">
        <x:v>779209573.5686258</x:v>
      </x:c>
      <x:c r="F79" s="25" t="n">
        <x:v>31168382.942745026</x:v>
      </x:c>
      <x:c r="G79" s="25" t="n">
        <x:v>18206039.84651072</x:v>
      </x:c>
      <x:c r="H79" s="25" t="n">
        <x:v>74224.42387321958</x:v>
      </x:c>
      <x:c r="I79" s="25" t="n">
        <x:v>50000</x:v>
      </x:c>
      <x:c r="J79" s="25" t="n">
        <x:v>12838118.672361087</x:v>
      </x:c>
      <x:c r="K79" s="30" t="n">
        <x:v>0.02336475380189524</x:v>
      </x:c>
      <x:c r="L79" s="25" t="n">
        <x:v>1647582.2561528655</x:v>
      </x:c>
      <x:c r="M79" s="25" t="n">
        <x:v>0.3</x:v>
      </x:c>
      <x:c r="N79" s="25" t="n">
        <x:v>1.5</x:v>
      </x:c>
      <x:c r="O79" s="25" t="n">
        <x:v>0.8</x:v>
      </x:c>
      <x:c r="P79" s="30" t="n">
        <x:v>0.039999999999999994</x:v>
      </x:c>
      <x:c r="Q79" s="25" t="n">
        <x:v>5848743.685910635</x:v>
      </x:c>
      <x:c r="R79" s="25" t="n">
        <x:v>6989374.986450452</x:v>
      </x:c>
    </x:row>
    <x:row r="80" ht="19" customHeight="1">
      <x:c r="A80" s="30" t="str">
        <x:v>surrogate_rules</x:v>
      </x:c>
      <x:c r="B80" s="25" t="n">
        <x:v>10000</x:v>
      </x:c>
      <x:c r="C80" s="25" t="n">
        <x:v>6359.724239599367</x:v>
      </x:c>
      <x:c r="D80" s="25" t="n">
        <x:v>6486.439612374531</x:v>
      </x:c>
      <x:c r="E80" s="25" t="n">
        <x:v>480297873.26294786</x:v>
      </x:c>
      <x:c r="F80" s="25" t="n">
        <x:v>33620851.12840635</x:v>
      </x:c>
      <x:c r="G80" s="25" t="n">
        <x:v>13038849.26398855</x:v>
      </x:c>
      <x:c r="H80" s="25" t="n">
        <x:v>324321.9806187265</x:v>
      </x:c>
      <x:c r="I80" s="25" t="n">
        <x:v>0</x:v>
      </x:c>
      <x:c r="J80" s="25" t="n">
        <x:v>20257679.883799076</x:v>
      </x:c>
      <x:c r="K80" s="30" t="n">
        <x:v>0.027147422443093337</x:v>
      </x:c>
      <x:c r="L80" s="25" t="n">
        <x:v>4217732.580445685</x:v>
      </x:c>
      <x:c r="M80" s="25" t="n">
        <x:v>0.3</x:v>
      </x:c>
      <x:c r="N80" s="25" t="n">
        <x:v>1.5</x:v>
      </x:c>
      <x:c r="O80" s="25" t="n">
        <x:v>0.8</x:v>
      </x:c>
      <x:c r="P80" s="30" t="n">
        <x:v>0.07</x:v>
      </x:c>
      <x:c r="Q80" s="25" t="n">
        <x:v>20257679.883799076</x:v>
      </x:c>
      <x:c r="R80" s="25" t="n">
        <x:v>0</x:v>
      </x:c>
    </x:row>
    <x:row r="81" ht="19" customHeight="1">
      <x:c r="A81" s="30" t="str">
        <x:v>A_conservative</x:v>
      </x:c>
      <x:c r="B81" s="25" t="n">
        <x:v>10000</x:v>
      </x:c>
      <x:c r="C81" s="25" t="n">
        <x:v>6939.81832766059</x:v>
      </x:c>
      <x:c r="D81" s="25" t="n">
        <x:v>2479.2420924837947</x:v>
      </x:c>
      <x:c r="E81" s="25" t="n">
        <x:v>634480022.5464479</x:v>
      </x:c>
      <x:c r="F81" s="25" t="n">
        <x:v>44413601.578251354</x:v>
      </x:c>
      <x:c r="G81" s="25" t="n">
        <x:v>12319075.59563813</x:v>
      </x:c>
      <x:c r="H81" s="25" t="n">
        <x:v>123962.10462418974</x:v>
      </x:c>
      <x:c r="I81" s="25" t="n">
        <x:v>50000</x:v>
      </x:c>
      <x:c r="J81" s="25" t="n">
        <x:v>31920563.877989035</x:v>
      </x:c>
      <x:c r="K81" s="30" t="n">
        <x:v>0.019416018090209132</x:v>
      </x:c>
      <x:c r="L81" s="25" t="n">
        <x:v>5030980.132341716</x:v>
      </x:c>
      <x:c r="M81" s="25" t="n">
        <x:v>0.3</x:v>
      </x:c>
      <x:c r="N81" s="25" t="n">
        <x:v>1.5</x:v>
      </x:c>
      <x:c r="O81" s="25" t="n">
        <x:v>0.8</x:v>
      </x:c>
      <x:c r="P81" s="30" t="n">
        <x:v>0.07</x:v>
      </x:c>
      <x:c r="Q81" s="25" t="n">
        <x:v>20257679.883799076</x:v>
      </x:c>
      <x:c r="R81" s="25" t="n">
        <x:v>11662883.994189959</x:v>
      </x:c>
    </x:row>
    <x:row r="82" ht="19" customHeight="1">
      <x:c r="A82" s="30" t="str">
        <x:v>B_balanced</x:v>
      </x:c>
      <x:c r="B82" s="25" t="n">
        <x:v>10000</x:v>
      </x:c>
      <x:c r="C82" s="25" t="n">
        <x:v>8148.372970277712</x:v>
      </x:c>
      <x:c r="D82" s="25" t="n">
        <x:v>1484.4884774643917</x:v>
      </x:c>
      <x:c r="E82" s="25" t="n">
        <x:v>779209573.5686258</x:v>
      </x:c>
      <x:c r="F82" s="25" t="n">
        <x:v>54544670.14980381</x:v>
      </x:c>
      <x:c r="G82" s="25" t="n">
        <x:v>18206039.84651072</x:v>
      </x:c>
      <x:c r="H82" s="25" t="n">
        <x:v>74224.42387321958</x:v>
      </x:c>
      <x:c r="I82" s="25" t="n">
        <x:v>50000</x:v>
      </x:c>
      <x:c r="J82" s="25" t="n">
        <x:v>36214405.87941988</x:v>
      </x:c>
      <x:c r="K82" s="30" t="n">
        <x:v>0.02336475380189524</x:v>
      </x:c>
      <x:c r="L82" s="25" t="n">
        <x:v>4647582.256152867</x:v>
      </x:c>
      <x:c r="M82" s="25" t="n">
        <x:v>0.3</x:v>
      </x:c>
      <x:c r="N82" s="25" t="n">
        <x:v>1.5</x:v>
      </x:c>
      <x:c r="O82" s="25" t="n">
        <x:v>0.8</x:v>
      </x:c>
      <x:c r="P82" s="30" t="n">
        <x:v>0.07</x:v>
      </x:c>
      <x:c r="Q82" s="25" t="n">
        <x:v>20257679.883799076</x:v>
      </x:c>
      <x:c r="R82" s="25" t="n">
        <x:v>15956725.995620802</x:v>
      </x:c>
    </x:row>
    <x:row r="83" ht="19" customHeight="1">
      <x:c r="A83" s="30" t="str">
        <x:v>surrogate_rules</x:v>
      </x:c>
      <x:c r="B83" s="25" t="n">
        <x:v>10000</x:v>
      </x:c>
      <x:c r="C83" s="25" t="n">
        <x:v>6359.724239599367</x:v>
      </x:c>
      <x:c r="D83" s="25" t="n">
        <x:v>6486.439612374531</x:v>
      </x:c>
      <x:c r="E83" s="25" t="n">
        <x:v>480297873.26294786</x:v>
      </x:c>
      <x:c r="F83" s="25" t="n">
        <x:v>48029787.326294795</x:v>
      </x:c>
      <x:c r="G83" s="25" t="n">
        <x:v>13038849.26398855</x:v>
      </x:c>
      <x:c r="H83" s="25" t="n">
        <x:v>324321.9806187265</x:v>
      </x:c>
      <x:c r="I83" s="25" t="n">
        <x:v>0</x:v>
      </x:c>
      <x:c r="J83" s="25" t="n">
        <x:v>34666616.08168751</x:v>
      </x:c>
      <x:c r="K83" s="30" t="n">
        <x:v>0.027147422443093337</x:v>
      </x:c>
      <x:c r="L83" s="25" t="n">
        <x:v>7217732.5804456845</x:v>
      </x:c>
      <x:c r="M83" s="25" t="n">
        <x:v>0.3</x:v>
      </x:c>
      <x:c r="N83" s="25" t="n">
        <x:v>1.5</x:v>
      </x:c>
      <x:c r="O83" s="25" t="n">
        <x:v>0.8</x:v>
      </x:c>
      <x:c r="P83" s="30" t="n">
        <x:v>0.10000000000000002</x:v>
      </x:c>
      <x:c r="Q83" s="25" t="n">
        <x:v>34666616.08168751</x:v>
      </x:c>
      <x:c r="R83" s="25" t="n">
        <x:v>0</x:v>
      </x:c>
    </x:row>
    <x:row r="84" ht="19" customHeight="1">
      <x:c r="A84" s="30" t="str">
        <x:v>A_conservative</x:v>
      </x:c>
      <x:c r="B84" s="25" t="n">
        <x:v>10000</x:v>
      </x:c>
      <x:c r="C84" s="25" t="n">
        <x:v>6939.81832766059</x:v>
      </x:c>
      <x:c r="D84" s="25" t="n">
        <x:v>2479.2420924837947</x:v>
      </x:c>
      <x:c r="E84" s="25" t="n">
        <x:v>634480022.5464479</x:v>
      </x:c>
      <x:c r="F84" s="25" t="n">
        <x:v>63448002.254644796</x:v>
      </x:c>
      <x:c r="G84" s="25" t="n">
        <x:v>12319075.59563813</x:v>
      </x:c>
      <x:c r="H84" s="25" t="n">
        <x:v>123962.10462418974</x:v>
      </x:c>
      <x:c r="I84" s="25" t="n">
        <x:v>50000</x:v>
      </x:c>
      <x:c r="J84" s="25" t="n">
        <x:v>50954964.55438248</x:v>
      </x:c>
      <x:c r="K84" s="30" t="n">
        <x:v>0.019416018090209132</x:v>
      </x:c>
      <x:c r="L84" s="25" t="n">
        <x:v>8030980.132341718</x:v>
      </x:c>
      <x:c r="M84" s="25" t="n">
        <x:v>0.3</x:v>
      </x:c>
      <x:c r="N84" s="25" t="n">
        <x:v>1.5</x:v>
      </x:c>
      <x:c r="O84" s="25" t="n">
        <x:v>0.8</x:v>
      </x:c>
      <x:c r="P84" s="30" t="n">
        <x:v>0.10000000000000002</x:v>
      </x:c>
      <x:c r="Q84" s="25" t="n">
        <x:v>34666616.08168751</x:v>
      </x:c>
      <x:c r="R84" s="25" t="n">
        <x:v>16288348.47269497</x:v>
      </x:c>
    </x:row>
    <x:row r="85" ht="19" customHeight="1">
      <x:c r="A85" s="30" t="str">
        <x:v>B_balanced</x:v>
      </x:c>
      <x:c r="B85" s="25" t="n">
        <x:v>10000</x:v>
      </x:c>
      <x:c r="C85" s="25" t="n">
        <x:v>8148.372970277712</x:v>
      </x:c>
      <x:c r="D85" s="25" t="n">
        <x:v>1484.4884774643917</x:v>
      </x:c>
      <x:c r="E85" s="25" t="n">
        <x:v>779209573.5686258</x:v>
      </x:c>
      <x:c r="F85" s="25" t="n">
        <x:v>77920957.35686259</x:v>
      </x:c>
      <x:c r="G85" s="25" t="n">
        <x:v>18206039.84651072</x:v>
      </x:c>
      <x:c r="H85" s="25" t="n">
        <x:v>74224.42387321958</x:v>
      </x:c>
      <x:c r="I85" s="25" t="n">
        <x:v>50000</x:v>
      </x:c>
      <x:c r="J85" s="25" t="n">
        <x:v>59590693.08647865</x:v>
      </x:c>
      <x:c r="K85" s="30" t="n">
        <x:v>0.02336475380189524</x:v>
      </x:c>
      <x:c r="L85" s="25" t="n">
        <x:v>7647582.256152867</x:v>
      </x:c>
      <x:c r="M85" s="25" t="n">
        <x:v>0.3</x:v>
      </x:c>
      <x:c r="N85" s="25" t="n">
        <x:v>1.5</x:v>
      </x:c>
      <x:c r="O85" s="25" t="n">
        <x:v>0.8</x:v>
      </x:c>
      <x:c r="P85" s="30" t="n">
        <x:v>0.10000000000000002</x:v>
      </x:c>
      <x:c r="Q85" s="25" t="n">
        <x:v>34666616.08168751</x:v>
      </x:c>
      <x:c r="R85" s="25" t="n">
        <x:v>24924077.00479114</x:v>
      </x:c>
    </x:row>
    <x:row r="86" ht="19" customHeight="1">
      <x:c r="A86" s="30" t="str">
        <x:v>surrogate_rules</x:v>
      </x:c>
      <x:c r="B86" s="25" t="n">
        <x:v>10000</x:v>
      </x:c>
      <x:c r="C86" s="25" t="n">
        <x:v>3765.1483946495546</x:v>
      </x:c>
      <x:c r="D86" s="25" t="n">
        <x:v>6486.439612374531</x:v>
      </x:c>
      <x:c r="E86" s="25" t="n">
        <x:v>298677564.11646104</x:v>
      </x:c>
      <x:c r="F86" s="25" t="n">
        <x:v>11947102.56465844</x:v>
      </x:c>
      <x:c r="G86" s="25" t="n">
        <x:v>3792616.0383289615</x:v>
      </x:c>
      <x:c r="H86" s="25" t="n">
        <x:v>324321.9806187265</x:v>
      </x:c>
      <x:c r="I86" s="25" t="n">
        <x:v>0</x:v>
      </x:c>
      <x:c r="J86" s="25" t="n">
        <x:v>7830164.545710753</x:v>
      </x:c>
      <x:c r="K86" s="30" t="n">
        <x:v>0.012698027886855727</x:v>
      </x:c>
      <x:c r="L86" s="25" t="n">
        <x:v>2621611.2244231366</x:v>
      </x:c>
      <x:c r="M86" s="25" t="n">
        <x:v>0.45</x:v>
      </x:c>
      <x:c r="N86" s="25" t="n">
        <x:v>0.5</x:v>
      </x:c>
      <x:c r="O86" s="25" t="n">
        <x:v>0.4</x:v>
      </x:c>
      <x:c r="P86" s="30" t="n">
        <x:v>0.039999999999999994</x:v>
      </x:c>
      <x:c r="Q86" s="25" t="n">
        <x:v>7830164.545710753</x:v>
      </x:c>
      <x:c r="R86" s="25" t="n">
        <x:v>0</x:v>
      </x:c>
    </x:row>
    <x:row r="87" ht="19" customHeight="1">
      <x:c r="A87" s="30" t="str">
        <x:v>A_conservative</x:v>
      </x:c>
      <x:c r="B87" s="25" t="n">
        <x:v>10000</x:v>
      </x:c>
      <x:c r="C87" s="25" t="n">
        <x:v>5948.121490667072</x:v>
      </x:c>
      <x:c r="D87" s="25" t="n">
        <x:v>2479.2420924837947</x:v>
      </x:c>
      <x:c r="E87" s="25" t="n">
        <x:v>565061243.9569017</x:v>
      </x:c>
      <x:c r="F87" s="25" t="n">
        <x:v>22602449.758276064</x:v>
      </x:c>
      <x:c r="G87" s="25" t="n">
        <x:v>4935785.982179635</x:v>
      </x:c>
      <x:c r="H87" s="25" t="n">
        <x:v>123962.10462418974</x:v>
      </x:c>
      <x:c r="I87" s="25" t="n">
        <x:v>50000</x:v>
      </x:c>
      <x:c r="J87" s="25" t="n">
        <x:v>17492701.67147224</x:v>
      </x:c>
      <x:c r="K87" s="30" t="n">
        <x:v>0.008734957555425792</x:v>
      </x:c>
      <x:c r="L87" s="25" t="n">
        <x:v>3095717.8285627463</x:v>
      </x:c>
      <x:c r="M87" s="25" t="n">
        <x:v>0.45</x:v>
      </x:c>
      <x:c r="N87" s="25" t="n">
        <x:v>0.5</x:v>
      </x:c>
      <x:c r="O87" s="25" t="n">
        <x:v>0.4</x:v>
      </x:c>
      <x:c r="P87" s="30" t="n">
        <x:v>0.039999999999999994</x:v>
      </x:c>
      <x:c r="Q87" s="25" t="n">
        <x:v>7830164.545710753</x:v>
      </x:c>
      <x:c r="R87" s="25" t="n">
        <x:v>9662537.125761487</x:v>
      </x:c>
    </x:row>
    <x:row r="88" ht="19" customHeight="1">
      <x:c r="A88" s="30" t="str">
        <x:v>B_balanced</x:v>
      </x:c>
      <x:c r="B88" s="25" t="n">
        <x:v>10000</x:v>
      </x:c>
      <x:c r="C88" s="25" t="n">
        <x:v>7554.577579291957</x:v>
      </x:c>
      <x:c r="D88" s="25" t="n">
        <x:v>1484.4884774643917</x:v>
      </x:c>
      <x:c r="E88" s="25" t="n">
        <x:v>737643896.1996229</x:v>
      </x:c>
      <x:c r="F88" s="25" t="n">
        <x:v>29505755.84798491</x:v>
      </x:c>
      <x:c r="G88" s="25" t="n">
        <x:v>8051358.206690225</x:v>
      </x:c>
      <x:c r="H88" s="25" t="n">
        <x:v>74224.42387321958</x:v>
      </x:c>
      <x:c r="I88" s="25" t="n">
        <x:v>50000</x:v>
      </x:c>
      <x:c r="J88" s="25" t="n">
        <x:v>21330173.217421465</x:v>
      </x:c>
      <x:c r="K88" s="30" t="n">
        <x:v>0.010914966216315505</x:v>
      </x:c>
      <x:c r="L88" s="25" t="n">
        <x:v>2891662.674539239</x:v>
      </x:c>
      <x:c r="M88" s="25" t="n">
        <x:v>0.45</x:v>
      </x:c>
      <x:c r="N88" s="25" t="n">
        <x:v>0.5</x:v>
      </x:c>
      <x:c r="O88" s="25" t="n">
        <x:v>0.4</x:v>
      </x:c>
      <x:c r="P88" s="30" t="n">
        <x:v>0.039999999999999994</x:v>
      </x:c>
      <x:c r="Q88" s="25" t="n">
        <x:v>7830164.545710753</x:v>
      </x:c>
      <x:c r="R88" s="25" t="n">
        <x:v>13500008.671710711</x:v>
      </x:c>
    </x:row>
    <x:row r="89" ht="19" customHeight="1">
      <x:c r="A89" s="30" t="str">
        <x:v>surrogate_rules</x:v>
      </x:c>
      <x:c r="B89" s="25" t="n">
        <x:v>10000</x:v>
      </x:c>
      <x:c r="C89" s="25" t="n">
        <x:v>3765.1483946495546</x:v>
      </x:c>
      <x:c r="D89" s="25" t="n">
        <x:v>6486.439612374531</x:v>
      </x:c>
      <x:c r="E89" s="25" t="n">
        <x:v>298677564.11646104</x:v>
      </x:c>
      <x:c r="F89" s="25" t="n">
        <x:v>20907429.488152273</x:v>
      </x:c>
      <x:c r="G89" s="25" t="n">
        <x:v>3792616.0383289615</x:v>
      </x:c>
      <x:c r="H89" s="25" t="n">
        <x:v>324321.9806187265</x:v>
      </x:c>
      <x:c r="I89" s="25" t="n">
        <x:v>0</x:v>
      </x:c>
      <x:c r="J89" s="25" t="n">
        <x:v>16790491.469204586</x:v>
      </x:c>
      <x:c r="K89" s="30" t="n">
        <x:v>0.012698027886855727</x:v>
      </x:c>
      <x:c r="L89" s="25" t="n">
        <x:v>5621611.224423137</x:v>
      </x:c>
      <x:c r="M89" s="25" t="n">
        <x:v>0.45</x:v>
      </x:c>
      <x:c r="N89" s="25" t="n">
        <x:v>0.5</x:v>
      </x:c>
      <x:c r="O89" s="25" t="n">
        <x:v>0.4</x:v>
      </x:c>
      <x:c r="P89" s="30" t="n">
        <x:v>0.07</x:v>
      </x:c>
      <x:c r="Q89" s="25" t="n">
        <x:v>16790491.469204586</x:v>
      </x:c>
      <x:c r="R89" s="25" t="n">
        <x:v>0</x:v>
      </x:c>
    </x:row>
    <x:row r="90" ht="19" customHeight="1">
      <x:c r="A90" s="30" t="str">
        <x:v>A_conservative</x:v>
      </x:c>
      <x:c r="B90" s="25" t="n">
        <x:v>10000</x:v>
      </x:c>
      <x:c r="C90" s="25" t="n">
        <x:v>5948.121490667072</x:v>
      </x:c>
      <x:c r="D90" s="25" t="n">
        <x:v>2479.2420924837947</x:v>
      </x:c>
      <x:c r="E90" s="25" t="n">
        <x:v>565061243.9569017</x:v>
      </x:c>
      <x:c r="F90" s="25" t="n">
        <x:v>39554287.076983124</x:v>
      </x:c>
      <x:c r="G90" s="25" t="n">
        <x:v>4935785.982179635</x:v>
      </x:c>
      <x:c r="H90" s="25" t="n">
        <x:v>123962.10462418974</x:v>
      </x:c>
      <x:c r="I90" s="25" t="n">
        <x:v>50000</x:v>
      </x:c>
      <x:c r="J90" s="25" t="n">
        <x:v>34444538.9901793</x:v>
      </x:c>
      <x:c r="K90" s="30" t="n">
        <x:v>0.008734957555425792</x:v>
      </x:c>
      <x:c r="L90" s="25" t="n">
        <x:v>6095717.828562748</x:v>
      </x:c>
      <x:c r="M90" s="25" t="n">
        <x:v>0.45</x:v>
      </x:c>
      <x:c r="N90" s="25" t="n">
        <x:v>0.5</x:v>
      </x:c>
      <x:c r="O90" s="25" t="n">
        <x:v>0.4</x:v>
      </x:c>
      <x:c r="P90" s="30" t="n">
        <x:v>0.07</x:v>
      </x:c>
      <x:c r="Q90" s="25" t="n">
        <x:v>16790491.469204586</x:v>
      </x:c>
      <x:c r="R90" s="25" t="n">
        <x:v>17654047.520974714</x:v>
      </x:c>
    </x:row>
    <x:row r="91" ht="19" customHeight="1">
      <x:c r="A91" s="30" t="str">
        <x:v>B_balanced</x:v>
      </x:c>
      <x:c r="B91" s="25" t="n">
        <x:v>10000</x:v>
      </x:c>
      <x:c r="C91" s="25" t="n">
        <x:v>7554.577579291957</x:v>
      </x:c>
      <x:c r="D91" s="25" t="n">
        <x:v>1484.4884774643917</x:v>
      </x:c>
      <x:c r="E91" s="25" t="n">
        <x:v>737643896.1996229</x:v>
      </x:c>
      <x:c r="F91" s="25" t="n">
        <x:v>51635072.73397361</x:v>
      </x:c>
      <x:c r="G91" s="25" t="n">
        <x:v>8051358.206690225</x:v>
      </x:c>
      <x:c r="H91" s="25" t="n">
        <x:v>74224.42387321958</x:v>
      </x:c>
      <x:c r="I91" s="25" t="n">
        <x:v>50000</x:v>
      </x:c>
      <x:c r="J91" s="25" t="n">
        <x:v>43459490.10341017</x:v>
      </x:c>
      <x:c r="K91" s="30" t="n">
        <x:v>0.010914966216315505</x:v>
      </x:c>
      <x:c r="L91" s="25" t="n">
        <x:v>5891662.674539242</x:v>
      </x:c>
      <x:c r="M91" s="25" t="n">
        <x:v>0.45</x:v>
      </x:c>
      <x:c r="N91" s="25" t="n">
        <x:v>0.5</x:v>
      </x:c>
      <x:c r="O91" s="25" t="n">
        <x:v>0.4</x:v>
      </x:c>
      <x:c r="P91" s="30" t="n">
        <x:v>0.07</x:v>
      </x:c>
      <x:c r="Q91" s="25" t="n">
        <x:v>16790491.469204586</x:v>
      </x:c>
      <x:c r="R91" s="25" t="n">
        <x:v>26668998.634205583</x:v>
      </x:c>
    </x:row>
    <x:row r="92" ht="19" customHeight="1">
      <x:c r="A92" s="30" t="str">
        <x:v>surrogate_rules</x:v>
      </x:c>
      <x:c r="B92" s="25" t="n">
        <x:v>10000</x:v>
      </x:c>
      <x:c r="C92" s="25" t="n">
        <x:v>3765.1483946495546</x:v>
      </x:c>
      <x:c r="D92" s="25" t="n">
        <x:v>6486.439612374531</x:v>
      </x:c>
      <x:c r="E92" s="25" t="n">
        <x:v>298677564.11646104</x:v>
      </x:c>
      <x:c r="F92" s="25" t="n">
        <x:v>29867756.41164611</x:v>
      </x:c>
      <x:c r="G92" s="25" t="n">
        <x:v>3792616.0383289615</x:v>
      </x:c>
      <x:c r="H92" s="25" t="n">
        <x:v>324321.9806187265</x:v>
      </x:c>
      <x:c r="I92" s="25" t="n">
        <x:v>0</x:v>
      </x:c>
      <x:c r="J92" s="25" t="n">
        <x:v>25750818.392698422</x:v>
      </x:c>
      <x:c r="K92" s="30" t="n">
        <x:v>0.012698027886855727</x:v>
      </x:c>
      <x:c r="L92" s="25" t="n">
        <x:v>8621611.224423138</x:v>
      </x:c>
      <x:c r="M92" s="25" t="n">
        <x:v>0.45</x:v>
      </x:c>
      <x:c r="N92" s="25" t="n">
        <x:v>0.5</x:v>
      </x:c>
      <x:c r="O92" s="25" t="n">
        <x:v>0.4</x:v>
      </x:c>
      <x:c r="P92" s="30" t="n">
        <x:v>0.10000000000000002</x:v>
      </x:c>
      <x:c r="Q92" s="25" t="n">
        <x:v>25750818.392698422</x:v>
      </x:c>
      <x:c r="R92" s="25" t="n">
        <x:v>0</x:v>
      </x:c>
    </x:row>
    <x:row r="93" ht="19" customHeight="1">
      <x:c r="A93" s="30" t="str">
        <x:v>A_conservative</x:v>
      </x:c>
      <x:c r="B93" s="25" t="n">
        <x:v>10000</x:v>
      </x:c>
      <x:c r="C93" s="25" t="n">
        <x:v>5948.121490667072</x:v>
      </x:c>
      <x:c r="D93" s="25" t="n">
        <x:v>2479.2420924837947</x:v>
      </x:c>
      <x:c r="E93" s="25" t="n">
        <x:v>565061243.9569017</x:v>
      </x:c>
      <x:c r="F93" s="25" t="n">
        <x:v>56506124.39569018</x:v>
      </x:c>
      <x:c r="G93" s="25" t="n">
        <x:v>4935785.982179635</x:v>
      </x:c>
      <x:c r="H93" s="25" t="n">
        <x:v>123962.10462418974</x:v>
      </x:c>
      <x:c r="I93" s="25" t="n">
        <x:v>50000</x:v>
      </x:c>
      <x:c r="J93" s="25" t="n">
        <x:v>51396376.30888636</x:v>
      </x:c>
      <x:c r="K93" s="30" t="n">
        <x:v>0.008734957555425792</x:v>
      </x:c>
      <x:c r="L93" s="25" t="n">
        <x:v>9095717.82856275</x:v>
      </x:c>
      <x:c r="M93" s="25" t="n">
        <x:v>0.45</x:v>
      </x:c>
      <x:c r="N93" s="25" t="n">
        <x:v>0.5</x:v>
      </x:c>
      <x:c r="O93" s="25" t="n">
        <x:v>0.4</x:v>
      </x:c>
      <x:c r="P93" s="30" t="n">
        <x:v>0.10000000000000002</x:v>
      </x:c>
      <x:c r="Q93" s="25" t="n">
        <x:v>25750818.392698422</x:v>
      </x:c>
      <x:c r="R93" s="25" t="n">
        <x:v>25645557.916187935</x:v>
      </x:c>
    </x:row>
    <x:row r="94" ht="19" customHeight="1">
      <x:c r="A94" s="30" t="str">
        <x:v>B_balanced</x:v>
      </x:c>
      <x:c r="B94" s="25" t="n">
        <x:v>10000</x:v>
      </x:c>
      <x:c r="C94" s="25" t="n">
        <x:v>7554.577579291957</x:v>
      </x:c>
      <x:c r="D94" s="25" t="n">
        <x:v>1484.4884774643917</x:v>
      </x:c>
      <x:c r="E94" s="25" t="n">
        <x:v>737643896.1996229</x:v>
      </x:c>
      <x:c r="F94" s="25" t="n">
        <x:v>73764389.6199623</x:v>
      </x:c>
      <x:c r="G94" s="25" t="n">
        <x:v>8051358.206690225</x:v>
      </x:c>
      <x:c r="H94" s="25" t="n">
        <x:v>74224.42387321958</x:v>
      </x:c>
      <x:c r="I94" s="25" t="n">
        <x:v>50000</x:v>
      </x:c>
      <x:c r="J94" s="25" t="n">
        <x:v>65588806.98939887</x:v>
      </x:c>
      <x:c r="K94" s="30" t="n">
        <x:v>0.010914966216315505</x:v>
      </x:c>
      <x:c r="L94" s="25" t="n">
        <x:v>8891662.674539242</x:v>
      </x:c>
      <x:c r="M94" s="25" t="n">
        <x:v>0.45</x:v>
      </x:c>
      <x:c r="N94" s="25" t="n">
        <x:v>0.5</x:v>
      </x:c>
      <x:c r="O94" s="25" t="n">
        <x:v>0.4</x:v>
      </x:c>
      <x:c r="P94" s="30" t="n">
        <x:v>0.10000000000000002</x:v>
      </x:c>
      <x:c r="Q94" s="25" t="n">
        <x:v>25750818.392698422</x:v>
      </x:c>
      <x:c r="R94" s="25" t="n">
        <x:v>39837988.596700445</x:v>
      </x:c>
    </x:row>
    <x:row r="95" ht="19" customHeight="1">
      <x:c r="A95" s="30" t="str">
        <x:v>surrogate_rules</x:v>
      </x:c>
      <x:c r="B95" s="25" t="n">
        <x:v>10000</x:v>
      </x:c>
      <x:c r="C95" s="25" t="n">
        <x:v>5062.43631712446</x:v>
      </x:c>
      <x:c r="D95" s="25" t="n">
        <x:v>6486.439612374531</x:v>
      </x:c>
      <x:c r="E95" s="25" t="n">
        <x:v>389487718.6897046</x:v>
      </x:c>
      <x:c r="F95" s="25" t="n">
        <x:v>15579508.747588182</x:v>
      </x:c>
      <x:c r="G95" s="25" t="n">
        <x:v>5156020.335161619</x:v>
      </x:c>
      <x:c r="H95" s="25" t="n">
        <x:v>324321.9806187265</x:v>
      </x:c>
      <x:c r="I95" s="25" t="n">
        <x:v>0</x:v>
      </x:c>
      <x:c r="J95" s="25" t="n">
        <x:v>10099166.431807837</x:v>
      </x:c>
      <x:c r="K95" s="30" t="n">
        <x:v>0.013237953567591935</x:v>
      </x:c>
      <x:c r="L95" s="25" t="n">
        <x:v>2592935.783901725</x:v>
      </x:c>
      <x:c r="M95" s="25" t="n">
        <x:v>0.45</x:v>
      </x:c>
      <x:c r="N95" s="25" t="n">
        <x:v>0.5</x:v>
      </x:c>
      <x:c r="O95" s="25" t="n">
        <x:v>0.6</x:v>
      </x:c>
      <x:c r="P95" s="30" t="n">
        <x:v>0.039999999999999994</x:v>
      </x:c>
      <x:c r="Q95" s="25" t="n">
        <x:v>10099166.431807837</x:v>
      </x:c>
      <x:c r="R95" s="25" t="n">
        <x:v>0</x:v>
      </x:c>
    </x:row>
    <x:row r="96" ht="19" customHeight="1">
      <x:c r="A96" s="30" t="str">
        <x:v>A_conservative</x:v>
      </x:c>
      <x:c r="B96" s="25" t="n">
        <x:v>10000</x:v>
      </x:c>
      <x:c r="C96" s="25" t="n">
        <x:v>6443.96990916383</x:v>
      </x:c>
      <x:c r="D96" s="25" t="n">
        <x:v>2479.2420924837947</x:v>
      </x:c>
      <x:c r="E96" s="25" t="n">
        <x:v>599770633.2516748</x:v>
      </x:c>
      <x:c r="F96" s="25" t="n">
        <x:v>23990825.330066986</x:v>
      </x:c>
      <x:c r="G96" s="25" t="n">
        <x:v>5547661.88999935</x:v>
      </x:c>
      <x:c r="H96" s="25" t="n">
        <x:v>123962.10462418974</x:v>
      </x:c>
      <x:c r="I96" s="25" t="n">
        <x:v>50000</x:v>
      </x:c>
      <x:c r="J96" s="25" t="n">
        <x:v>18269201.33544345</x:v>
      </x:c>
      <x:c r="K96" s="30" t="n">
        <x:v>0.009249639082731563</x:v>
      </x:c>
      <x:c r="L96" s="25" t="n">
        <x:v>3046031.3197390838</x:v>
      </x:c>
      <x:c r="M96" s="25" t="n">
        <x:v>0.45</x:v>
      </x:c>
      <x:c r="N96" s="25" t="n">
        <x:v>0.5</x:v>
      </x:c>
      <x:c r="O96" s="25" t="n">
        <x:v>0.6</x:v>
      </x:c>
      <x:c r="P96" s="30" t="n">
        <x:v>0.039999999999999994</x:v>
      </x:c>
      <x:c r="Q96" s="25" t="n">
        <x:v>10099166.431807837</x:v>
      </x:c>
      <x:c r="R96" s="25" t="n">
        <x:v>8170034.903635612</x:v>
      </x:c>
    </x:row>
    <x:row r="97" ht="19" customHeight="1">
      <x:c r="A97" s="30" t="str">
        <x:v>B_balanced</x:v>
      </x:c>
      <x:c r="B97" s="25" t="n">
        <x:v>10000</x:v>
      </x:c>
      <x:c r="C97" s="25" t="n">
        <x:v>7851.4752747848315</x:v>
      </x:c>
      <x:c r="D97" s="25" t="n">
        <x:v>1484.4884774643917</x:v>
      </x:c>
      <x:c r="E97" s="25" t="n">
        <x:v>758426734.8841242</x:v>
      </x:c>
      <x:c r="F97" s="25" t="n">
        <x:v>30337069.395364963</x:v>
      </x:c>
      <x:c r="G97" s="25" t="n">
        <x:v>8577189.064972794</x:v>
      </x:c>
      <x:c r="H97" s="25" t="n">
        <x:v>74224.42387321958</x:v>
      </x:c>
      <x:c r="I97" s="25" t="n">
        <x:v>50000</x:v>
      </x:c>
      <x:c r="J97" s="25" t="n">
        <x:v>21635655.906518947</x:v>
      </x:c>
      <x:c r="K97" s="30" t="n">
        <x:v>0.011309186069611924</x:v>
      </x:c>
      <x:c r="L97" s="25" t="n">
        <x:v>2852702.1677083336</x:v>
      </x:c>
      <x:c r="M97" s="25" t="n">
        <x:v>0.45</x:v>
      </x:c>
      <x:c r="N97" s="25" t="n">
        <x:v>0.5</x:v>
      </x:c>
      <x:c r="O97" s="25" t="n">
        <x:v>0.6</x:v>
      </x:c>
      <x:c r="P97" s="30" t="n">
        <x:v>0.039999999999999994</x:v>
      </x:c>
      <x:c r="Q97" s="25" t="n">
        <x:v>10099166.431807837</x:v>
      </x:c>
      <x:c r="R97" s="25" t="n">
        <x:v>11536489.47471111</x:v>
      </x:c>
    </x:row>
    <x:row r="98" ht="19" customHeight="1">
      <x:c r="A98" s="30" t="str">
        <x:v>surrogate_rules</x:v>
      </x:c>
      <x:c r="B98" s="25" t="n">
        <x:v>10000</x:v>
      </x:c>
      <x:c r="C98" s="25" t="n">
        <x:v>5062.43631712446</x:v>
      </x:c>
      <x:c r="D98" s="25" t="n">
        <x:v>6486.439612374531</x:v>
      </x:c>
      <x:c r="E98" s="25" t="n">
        <x:v>389487718.6897046</x:v>
      </x:c>
      <x:c r="F98" s="25" t="n">
        <x:v>27264140.308279324</x:v>
      </x:c>
      <x:c r="G98" s="25" t="n">
        <x:v>5156020.335161619</x:v>
      </x:c>
      <x:c r="H98" s="25" t="n">
        <x:v>324321.9806187265</x:v>
      </x:c>
      <x:c r="I98" s="25" t="n">
        <x:v>0</x:v>
      </x:c>
      <x:c r="J98" s="25" t="n">
        <x:v>21783797.99249898</x:v>
      </x:c>
      <x:c r="K98" s="30" t="n">
        <x:v>0.013237953567591935</x:v>
      </x:c>
      <x:c r="L98" s="25" t="n">
        <x:v>5592935.783901726</x:v>
      </x:c>
      <x:c r="M98" s="25" t="n">
        <x:v>0.45</x:v>
      </x:c>
      <x:c r="N98" s="25" t="n">
        <x:v>0.5</x:v>
      </x:c>
      <x:c r="O98" s="25" t="n">
        <x:v>0.6</x:v>
      </x:c>
      <x:c r="P98" s="30" t="n">
        <x:v>0.07</x:v>
      </x:c>
      <x:c r="Q98" s="25" t="n">
        <x:v>21783797.99249898</x:v>
      </x:c>
      <x:c r="R98" s="25" t="n">
        <x:v>0</x:v>
      </x:c>
    </x:row>
    <x:row r="99" ht="19" customHeight="1">
      <x:c r="A99" s="30" t="str">
        <x:v>A_conservative</x:v>
      </x:c>
      <x:c r="B99" s="25" t="n">
        <x:v>10000</x:v>
      </x:c>
      <x:c r="C99" s="25" t="n">
        <x:v>6443.96990916383</x:v>
      </x:c>
      <x:c r="D99" s="25" t="n">
        <x:v>2479.2420924837947</x:v>
      </x:c>
      <x:c r="E99" s="25" t="n">
        <x:v>599770633.2516748</x:v>
      </x:c>
      <x:c r="F99" s="25" t="n">
        <x:v>41983944.327617235</x:v>
      </x:c>
      <x:c r="G99" s="25" t="n">
        <x:v>5547661.88999935</x:v>
      </x:c>
      <x:c r="H99" s="25" t="n">
        <x:v>123962.10462418974</x:v>
      </x:c>
      <x:c r="I99" s="25" t="n">
        <x:v>50000</x:v>
      </x:c>
      <x:c r="J99" s="25" t="n">
        <x:v>36262320.33299369</x:v>
      </x:c>
      <x:c r="K99" s="30" t="n">
        <x:v>0.009249639082731563</x:v>
      </x:c>
      <x:c r="L99" s="25" t="n">
        <x:v>6046031.319739084</x:v>
      </x:c>
      <x:c r="M99" s="25" t="n">
        <x:v>0.45</x:v>
      </x:c>
      <x:c r="N99" s="25" t="n">
        <x:v>0.5</x:v>
      </x:c>
      <x:c r="O99" s="25" t="n">
        <x:v>0.6</x:v>
      </x:c>
      <x:c r="P99" s="30" t="n">
        <x:v>0.07</x:v>
      </x:c>
      <x:c r="Q99" s="25" t="n">
        <x:v>21783797.99249898</x:v>
      </x:c>
      <x:c r="R99" s="25" t="n">
        <x:v>14478522.340494715</x:v>
      </x:c>
    </x:row>
    <x:row r="100" ht="19" customHeight="1">
      <x:c r="A100" s="30" t="str">
        <x:v>B_balanced</x:v>
      </x:c>
      <x:c r="B100" s="25" t="n">
        <x:v>10000</x:v>
      </x:c>
      <x:c r="C100" s="25" t="n">
        <x:v>7851.4752747848315</x:v>
      </x:c>
      <x:c r="D100" s="25" t="n">
        <x:v>1484.4884774643917</x:v>
      </x:c>
      <x:c r="E100" s="25" t="n">
        <x:v>758426734.8841242</x:v>
      </x:c>
      <x:c r="F100" s="25" t="n">
        <x:v>53089871.4418887</x:v>
      </x:c>
      <x:c r="G100" s="25" t="n">
        <x:v>8577189.064972794</x:v>
      </x:c>
      <x:c r="H100" s="25" t="n">
        <x:v>74224.42387321958</x:v>
      </x:c>
      <x:c r="I100" s="25" t="n">
        <x:v>50000</x:v>
      </x:c>
      <x:c r="J100" s="25" t="n">
        <x:v>44388457.953042686</x:v>
      </x:c>
      <x:c r="K100" s="30" t="n">
        <x:v>0.011309186069611924</x:v>
      </x:c>
      <x:c r="L100" s="25" t="n">
        <x:v>5852702.167708335</x:v>
      </x:c>
      <x:c r="M100" s="25" t="n">
        <x:v>0.45</x:v>
      </x:c>
      <x:c r="N100" s="25" t="n">
        <x:v>0.5</x:v>
      </x:c>
      <x:c r="O100" s="25" t="n">
        <x:v>0.6</x:v>
      </x:c>
      <x:c r="P100" s="30" t="n">
        <x:v>0.07</x:v>
      </x:c>
      <x:c r="Q100" s="25" t="n">
        <x:v>21783797.99249898</x:v>
      </x:c>
      <x:c r="R100" s="25" t="n">
        <x:v>22604659.960543707</x:v>
      </x:c>
    </x:row>
    <x:row r="101" ht="19" customHeight="1">
      <x:c r="A101" s="30" t="str">
        <x:v>surrogate_rules</x:v>
      </x:c>
      <x:c r="B101" s="25" t="n">
        <x:v>10000</x:v>
      </x:c>
      <x:c r="C101" s="25" t="n">
        <x:v>5062.43631712446</x:v>
      </x:c>
      <x:c r="D101" s="25" t="n">
        <x:v>6486.439612374531</x:v>
      </x:c>
      <x:c r="E101" s="25" t="n">
        <x:v>389487718.6897046</x:v>
      </x:c>
      <x:c r="F101" s="25" t="n">
        <x:v>38948771.86897047</x:v>
      </x:c>
      <x:c r="G101" s="25" t="n">
        <x:v>5156020.335161619</x:v>
      </x:c>
      <x:c r="H101" s="25" t="n">
        <x:v>324321.9806187265</x:v>
      </x:c>
      <x:c r="I101" s="25" t="n">
        <x:v>0</x:v>
      </x:c>
      <x:c r="J101" s="25" t="n">
        <x:v>33468429.553190123</x:v>
      </x:c>
      <x:c r="K101" s="30" t="n">
        <x:v>0.013237953567591935</x:v>
      </x:c>
      <x:c r="L101" s="25" t="n">
        <x:v>8592935.783901727</x:v>
      </x:c>
      <x:c r="M101" s="25" t="n">
        <x:v>0.45</x:v>
      </x:c>
      <x:c r="N101" s="25" t="n">
        <x:v>0.5</x:v>
      </x:c>
      <x:c r="O101" s="25" t="n">
        <x:v>0.6</x:v>
      </x:c>
      <x:c r="P101" s="30" t="n">
        <x:v>0.10000000000000002</x:v>
      </x:c>
      <x:c r="Q101" s="25" t="n">
        <x:v>33468429.553190123</x:v>
      </x:c>
      <x:c r="R101" s="25" t="n">
        <x:v>0</x:v>
      </x:c>
    </x:row>
    <x:row r="102" ht="19" customHeight="1">
      <x:c r="A102" s="30" t="str">
        <x:v>A_conservative</x:v>
      </x:c>
      <x:c r="B102" s="25" t="n">
        <x:v>10000</x:v>
      </x:c>
      <x:c r="C102" s="25" t="n">
        <x:v>6443.96990916383</x:v>
      </x:c>
      <x:c r="D102" s="25" t="n">
        <x:v>2479.2420924837947</x:v>
      </x:c>
      <x:c r="E102" s="25" t="n">
        <x:v>599770633.2516748</x:v>
      </x:c>
      <x:c r="F102" s="25" t="n">
        <x:v>59977063.32516749</x:v>
      </x:c>
      <x:c r="G102" s="25" t="n">
        <x:v>5547661.88999935</x:v>
      </x:c>
      <x:c r="H102" s="25" t="n">
        <x:v>123962.10462418974</x:v>
      </x:c>
      <x:c r="I102" s="25" t="n">
        <x:v>50000</x:v>
      </x:c>
      <x:c r="J102" s="25" t="n">
        <x:v>54255439.33054395</x:v>
      </x:c>
      <x:c r="K102" s="30" t="n">
        <x:v>0.009249639082731563</x:v>
      </x:c>
      <x:c r="L102" s="25" t="n">
        <x:v>9046031.319739087</x:v>
      </x:c>
      <x:c r="M102" s="25" t="n">
        <x:v>0.45</x:v>
      </x:c>
      <x:c r="N102" s="25" t="n">
        <x:v>0.5</x:v>
      </x:c>
      <x:c r="O102" s="25" t="n">
        <x:v>0.6</x:v>
      </x:c>
      <x:c r="P102" s="30" t="n">
        <x:v>0.10000000000000002</x:v>
      </x:c>
      <x:c r="Q102" s="25" t="n">
        <x:v>33468429.553190123</x:v>
      </x:c>
      <x:c r="R102" s="25" t="n">
        <x:v>20787009.777353827</x:v>
      </x:c>
    </x:row>
    <x:row r="103" ht="19" customHeight="1">
      <x:c r="A103" s="30" t="str">
        <x:v>B_balanced</x:v>
      </x:c>
      <x:c r="B103" s="25" t="n">
        <x:v>10000</x:v>
      </x:c>
      <x:c r="C103" s="25" t="n">
        <x:v>7851.4752747848315</x:v>
      </x:c>
      <x:c r="D103" s="25" t="n">
        <x:v>1484.4884774643917</x:v>
      </x:c>
      <x:c r="E103" s="25" t="n">
        <x:v>758426734.8841242</x:v>
      </x:c>
      <x:c r="F103" s="25" t="n">
        <x:v>75842673.48841242</x:v>
      </x:c>
      <x:c r="G103" s="25" t="n">
        <x:v>8577189.064972794</x:v>
      </x:c>
      <x:c r="H103" s="25" t="n">
        <x:v>74224.42387321958</x:v>
      </x:c>
      <x:c r="I103" s="25" t="n">
        <x:v>50000</x:v>
      </x:c>
      <x:c r="J103" s="25" t="n">
        <x:v>67141259.99956642</x:v>
      </x:c>
      <x:c r="K103" s="30" t="n">
        <x:v>0.011309186069611924</x:v>
      </x:c>
      <x:c r="L103" s="25" t="n">
        <x:v>8852702.167708337</x:v>
      </x:c>
      <x:c r="M103" s="25" t="n">
        <x:v>0.45</x:v>
      </x:c>
      <x:c r="N103" s="25" t="n">
        <x:v>0.5</x:v>
      </x:c>
      <x:c r="O103" s="25" t="n">
        <x:v>0.6</x:v>
      </x:c>
      <x:c r="P103" s="30" t="n">
        <x:v>0.10000000000000002</x:v>
      </x:c>
      <x:c r="Q103" s="25" t="n">
        <x:v>33468429.553190123</x:v>
      </x:c>
      <x:c r="R103" s="25" t="n">
        <x:v>33672830.446376294</x:v>
      </x:c>
    </x:row>
    <x:row r="104" ht="19" customHeight="1">
      <x:c r="A104" s="30" t="str">
        <x:v>surrogate_rules</x:v>
      </x:c>
      <x:c r="B104" s="25" t="n">
        <x:v>10000</x:v>
      </x:c>
      <x:c r="C104" s="25" t="n">
        <x:v>6359.724239599367</x:v>
      </x:c>
      <x:c r="D104" s="25" t="n">
        <x:v>6486.439612374531</x:v>
      </x:c>
      <x:c r="E104" s="25" t="n">
        <x:v>480297873.26294786</x:v>
      </x:c>
      <x:c r="F104" s="25" t="n">
        <x:v>19211914.930517912</x:v>
      </x:c>
      <x:c r="G104" s="25" t="n">
        <x:v>6519424.631994277</x:v>
      </x:c>
      <x:c r="H104" s="25" t="n">
        <x:v>324321.9806187265</x:v>
      </x:c>
      <x:c r="I104" s="25" t="n">
        <x:v>0</x:v>
      </x:c>
      <x:c r="J104" s="25" t="n">
        <x:v>12368168.317904908</x:v>
      </x:c>
      <x:c r="K104" s="30" t="n">
        <x:v>0.013573711221546674</x:v>
      </x:c>
      <x:c r="L104" s="25" t="n">
        <x:v>2575103.70260035</x:v>
      </x:c>
      <x:c r="M104" s="25" t="n">
        <x:v>0.45</x:v>
      </x:c>
      <x:c r="N104" s="25" t="n">
        <x:v>0.5</x:v>
      </x:c>
      <x:c r="O104" s="25" t="n">
        <x:v>0.8</x:v>
      </x:c>
      <x:c r="P104" s="30" t="n">
        <x:v>0.039999999999999994</x:v>
      </x:c>
      <x:c r="Q104" s="25" t="n">
        <x:v>12368168.317904908</x:v>
      </x:c>
      <x:c r="R104" s="25" t="n">
        <x:v>0</x:v>
      </x:c>
    </x:row>
    <x:row r="105" ht="19" customHeight="1">
      <x:c r="A105" s="30" t="str">
        <x:v>A_conservative</x:v>
      </x:c>
      <x:c r="B105" s="25" t="n">
        <x:v>10000</x:v>
      </x:c>
      <x:c r="C105" s="25" t="n">
        <x:v>6939.81832766059</x:v>
      </x:c>
      <x:c r="D105" s="25" t="n">
        <x:v>2479.2420924837947</x:v>
      </x:c>
      <x:c r="E105" s="25" t="n">
        <x:v>634480022.5464479</x:v>
      </x:c>
      <x:c r="F105" s="25" t="n">
        <x:v>25379200.901857913</x:v>
      </x:c>
      <x:c r="G105" s="25" t="n">
        <x:v>6159537.797819065</x:v>
      </x:c>
      <x:c r="H105" s="25" t="n">
        <x:v>123962.10462418974</x:v>
      </x:c>
      <x:c r="I105" s="25" t="n">
        <x:v>50000</x:v>
      </x:c>
      <x:c r="J105" s="25" t="n">
        <x:v>19045700.99941466</x:v>
      </x:c>
      <x:c r="K105" s="30" t="n">
        <x:v>0.009708009045104566</x:v>
      </x:c>
      <x:c r="L105" s="25" t="n">
        <x:v>3001781.036852172</x:v>
      </x:c>
      <x:c r="M105" s="25" t="n">
        <x:v>0.45</x:v>
      </x:c>
      <x:c r="N105" s="25" t="n">
        <x:v>0.5</x:v>
      </x:c>
      <x:c r="O105" s="25" t="n">
        <x:v>0.8</x:v>
      </x:c>
      <x:c r="P105" s="30" t="n">
        <x:v>0.039999999999999994</x:v>
      </x:c>
      <x:c r="Q105" s="25" t="n">
        <x:v>12368168.317904908</x:v>
      </x:c>
      <x:c r="R105" s="25" t="n">
        <x:v>6677532.681509752</x:v>
      </x:c>
    </x:row>
    <x:row r="106" ht="19" customHeight="1">
      <x:c r="A106" s="30" t="str">
        <x:v>B_balanced</x:v>
      </x:c>
      <x:c r="B106" s="25" t="n">
        <x:v>10000</x:v>
      </x:c>
      <x:c r="C106" s="25" t="n">
        <x:v>8148.372970277712</x:v>
      </x:c>
      <x:c r="D106" s="25" t="n">
        <x:v>1484.4884774643917</x:v>
      </x:c>
      <x:c r="E106" s="25" t="n">
        <x:v>779209573.5686258</x:v>
      </x:c>
      <x:c r="F106" s="25" t="n">
        <x:v>31168382.942745026</x:v>
      </x:c>
      <x:c r="G106" s="25" t="n">
        <x:v>9103019.923255362</x:v>
      </x:c>
      <x:c r="H106" s="25" t="n">
        <x:v>74224.42387321958</x:v>
      </x:c>
      <x:c r="I106" s="25" t="n">
        <x:v>50000</x:v>
      </x:c>
      <x:c r="J106" s="25" t="n">
        <x:v>21941138.595616445</x:v>
      </x:c>
      <x:c r="K106" s="30" t="n">
        <x:v>0.011682376900947623</x:v>
      </x:c>
      <x:c r="L106" s="25" t="n">
        <x:v>2815819.9462476275</x:v>
      </x:c>
      <x:c r="M106" s="25" t="n">
        <x:v>0.45</x:v>
      </x:c>
      <x:c r="N106" s="25" t="n">
        <x:v>0.5</x:v>
      </x:c>
      <x:c r="O106" s="25" t="n">
        <x:v>0.8</x:v>
      </x:c>
      <x:c r="P106" s="30" t="n">
        <x:v>0.039999999999999994</x:v>
      </x:c>
      <x:c r="Q106" s="25" t="n">
        <x:v>12368168.317904908</x:v>
      </x:c>
      <x:c r="R106" s="25" t="n">
        <x:v>9572970.277711537</x:v>
      </x:c>
    </x:row>
    <x:row r="107" ht="19" customHeight="1">
      <x:c r="A107" s="30" t="str">
        <x:v>surrogate_rules</x:v>
      </x:c>
      <x:c r="B107" s="25" t="n">
        <x:v>10000</x:v>
      </x:c>
      <x:c r="C107" s="25" t="n">
        <x:v>6359.724239599367</x:v>
      </x:c>
      <x:c r="D107" s="25" t="n">
        <x:v>6486.439612374531</x:v>
      </x:c>
      <x:c r="E107" s="25" t="n">
        <x:v>480297873.26294786</x:v>
      </x:c>
      <x:c r="F107" s="25" t="n">
        <x:v>33620851.12840635</x:v>
      </x:c>
      <x:c r="G107" s="25" t="n">
        <x:v>6519424.631994277</x:v>
      </x:c>
      <x:c r="H107" s="25" t="n">
        <x:v>324321.9806187265</x:v>
      </x:c>
      <x:c r="I107" s="25" t="n">
        <x:v>0</x:v>
      </x:c>
      <x:c r="J107" s="25" t="n">
        <x:v>26777104.51579335</x:v>
      </x:c>
      <x:c r="K107" s="30" t="n">
        <x:v>0.013573711221546674</x:v>
      </x:c>
      <x:c r="L107" s="25" t="n">
        <x:v>5575103.702600352</x:v>
      </x:c>
      <x:c r="M107" s="25" t="n">
        <x:v>0.45</x:v>
      </x:c>
      <x:c r="N107" s="25" t="n">
        <x:v>0.5</x:v>
      </x:c>
      <x:c r="O107" s="25" t="n">
        <x:v>0.8</x:v>
      </x:c>
      <x:c r="P107" s="30" t="n">
        <x:v>0.07</x:v>
      </x:c>
      <x:c r="Q107" s="25" t="n">
        <x:v>26777104.51579335</x:v>
      </x:c>
      <x:c r="R107" s="25" t="n">
        <x:v>0</x:v>
      </x:c>
    </x:row>
    <x:row r="108" ht="19" customHeight="1">
      <x:c r="A108" s="30" t="str">
        <x:v>A_conservative</x:v>
      </x:c>
      <x:c r="B108" s="25" t="n">
        <x:v>10000</x:v>
      </x:c>
      <x:c r="C108" s="25" t="n">
        <x:v>6939.81832766059</x:v>
      </x:c>
      <x:c r="D108" s="25" t="n">
        <x:v>2479.2420924837947</x:v>
      </x:c>
      <x:c r="E108" s="25" t="n">
        <x:v>634480022.5464479</x:v>
      </x:c>
      <x:c r="F108" s="25" t="n">
        <x:v>44413601.578251354</x:v>
      </x:c>
      <x:c r="G108" s="25" t="n">
        <x:v>6159537.797819065</x:v>
      </x:c>
      <x:c r="H108" s="25" t="n">
        <x:v>123962.10462418974</x:v>
      </x:c>
      <x:c r="I108" s="25" t="n">
        <x:v>50000</x:v>
      </x:c>
      <x:c r="J108" s="25" t="n">
        <x:v>38080101.6758081</x:v>
      </x:c>
      <x:c r="K108" s="30" t="n">
        <x:v>0.009708009045104566</x:v>
      </x:c>
      <x:c r="L108" s="25" t="n">
        <x:v>6001781.0368521735</x:v>
      </x:c>
      <x:c r="M108" s="25" t="n">
        <x:v>0.45</x:v>
      </x:c>
      <x:c r="N108" s="25" t="n">
        <x:v>0.5</x:v>
      </x:c>
      <x:c r="O108" s="25" t="n">
        <x:v>0.8</x:v>
      </x:c>
      <x:c r="P108" s="30" t="n">
        <x:v>0.07</x:v>
      </x:c>
      <x:c r="Q108" s="25" t="n">
        <x:v>26777104.51579335</x:v>
      </x:c>
      <x:c r="R108" s="25" t="n">
        <x:v>11302997.160014752</x:v>
      </x:c>
    </x:row>
    <x:row r="109" ht="19" customHeight="1">
      <x:c r="A109" s="30" t="str">
        <x:v>B_balanced</x:v>
      </x:c>
      <x:c r="B109" s="25" t="n">
        <x:v>10000</x:v>
      </x:c>
      <x:c r="C109" s="25" t="n">
        <x:v>8148.372970277712</x:v>
      </x:c>
      <x:c r="D109" s="25" t="n">
        <x:v>1484.4884774643917</x:v>
      </x:c>
      <x:c r="E109" s="25" t="n">
        <x:v>779209573.5686258</x:v>
      </x:c>
      <x:c r="F109" s="25" t="n">
        <x:v>54544670.14980381</x:v>
      </x:c>
      <x:c r="G109" s="25" t="n">
        <x:v>9103019.923255362</x:v>
      </x:c>
      <x:c r="H109" s="25" t="n">
        <x:v>74224.42387321958</x:v>
      </x:c>
      <x:c r="I109" s="25" t="n">
        <x:v>50000</x:v>
      </x:c>
      <x:c r="J109" s="25" t="n">
        <x:v>45317425.80267523</x:v>
      </x:c>
      <x:c r="K109" s="30" t="n">
        <x:v>0.011682376900947623</x:v>
      </x:c>
      <x:c r="L109" s="25" t="n">
        <x:v>5815819.946247629</x:v>
      </x:c>
      <x:c r="M109" s="25" t="n">
        <x:v>0.45</x:v>
      </x:c>
      <x:c r="N109" s="25" t="n">
        <x:v>0.5</x:v>
      </x:c>
      <x:c r="O109" s="25" t="n">
        <x:v>0.8</x:v>
      </x:c>
      <x:c r="P109" s="30" t="n">
        <x:v>0.07</x:v>
      </x:c>
      <x:c r="Q109" s="25" t="n">
        <x:v>26777104.51579335</x:v>
      </x:c>
      <x:c r="R109" s="25" t="n">
        <x:v>18540321.286881883</x:v>
      </x:c>
    </x:row>
    <x:row r="110" ht="19" customHeight="1">
      <x:c r="A110" s="30" t="str">
        <x:v>surrogate_rules</x:v>
      </x:c>
      <x:c r="B110" s="25" t="n">
        <x:v>10000</x:v>
      </x:c>
      <x:c r="C110" s="25" t="n">
        <x:v>6359.724239599367</x:v>
      </x:c>
      <x:c r="D110" s="25" t="n">
        <x:v>6486.439612374531</x:v>
      </x:c>
      <x:c r="E110" s="25" t="n">
        <x:v>480297873.26294786</x:v>
      </x:c>
      <x:c r="F110" s="25" t="n">
        <x:v>48029787.326294795</x:v>
      </x:c>
      <x:c r="G110" s="25" t="n">
        <x:v>6519424.631994277</x:v>
      </x:c>
      <x:c r="H110" s="25" t="n">
        <x:v>324321.9806187265</x:v>
      </x:c>
      <x:c r="I110" s="25" t="n">
        <x:v>0</x:v>
      </x:c>
      <x:c r="J110" s="25" t="n">
        <x:v>41186040.71368179</x:v>
      </x:c>
      <x:c r="K110" s="30" t="n">
        <x:v>0.013573711221546674</x:v>
      </x:c>
      <x:c r="L110" s="25" t="n">
        <x:v>8575103.702600352</x:v>
      </x:c>
      <x:c r="M110" s="25" t="n">
        <x:v>0.45</x:v>
      </x:c>
      <x:c r="N110" s="25" t="n">
        <x:v>0.5</x:v>
      </x:c>
      <x:c r="O110" s="25" t="n">
        <x:v>0.8</x:v>
      </x:c>
      <x:c r="P110" s="30" t="n">
        <x:v>0.10000000000000002</x:v>
      </x:c>
      <x:c r="Q110" s="25" t="n">
        <x:v>41186040.71368179</x:v>
      </x:c>
      <x:c r="R110" s="25" t="n">
        <x:v>0</x:v>
      </x:c>
    </x:row>
    <x:row r="111" ht="19" customHeight="1">
      <x:c r="A111" s="30" t="str">
        <x:v>A_conservative</x:v>
      </x:c>
      <x:c r="B111" s="25" t="n">
        <x:v>10000</x:v>
      </x:c>
      <x:c r="C111" s="25" t="n">
        <x:v>6939.81832766059</x:v>
      </x:c>
      <x:c r="D111" s="25" t="n">
        <x:v>2479.2420924837947</x:v>
      </x:c>
      <x:c r="E111" s="25" t="n">
        <x:v>634480022.5464479</x:v>
      </x:c>
      <x:c r="F111" s="25" t="n">
        <x:v>63448002.254644796</x:v>
      </x:c>
      <x:c r="G111" s="25" t="n">
        <x:v>6159537.797819065</x:v>
      </x:c>
      <x:c r="H111" s="25" t="n">
        <x:v>123962.10462418974</x:v>
      </x:c>
      <x:c r="I111" s="25" t="n">
        <x:v>50000</x:v>
      </x:c>
      <x:c r="J111" s="25" t="n">
        <x:v>57114502.352201544</x:v>
      </x:c>
      <x:c r="K111" s="30" t="n">
        <x:v>0.009708009045104566</x:v>
      </x:c>
      <x:c r="L111" s="25" t="n">
        <x:v>9001781.036852175</x:v>
      </x:c>
      <x:c r="M111" s="25" t="n">
        <x:v>0.45</x:v>
      </x:c>
      <x:c r="N111" s="25" t="n">
        <x:v>0.5</x:v>
      </x:c>
      <x:c r="O111" s="25" t="n">
        <x:v>0.8</x:v>
      </x:c>
      <x:c r="P111" s="30" t="n">
        <x:v>0.10000000000000002</x:v>
      </x:c>
      <x:c r="Q111" s="25" t="n">
        <x:v>41186040.71368179</x:v>
      </x:c>
      <x:c r="R111" s="25" t="n">
        <x:v>15928461.638519756</x:v>
      </x:c>
    </x:row>
    <x:row r="112" ht="19" customHeight="1">
      <x:c r="A112" s="30" t="str">
        <x:v>B_balanced</x:v>
      </x:c>
      <x:c r="B112" s="25" t="n">
        <x:v>10000</x:v>
      </x:c>
      <x:c r="C112" s="25" t="n">
        <x:v>8148.372970277712</x:v>
      </x:c>
      <x:c r="D112" s="25" t="n">
        <x:v>1484.4884774643917</x:v>
      </x:c>
      <x:c r="E112" s="25" t="n">
        <x:v>779209573.5686258</x:v>
      </x:c>
      <x:c r="F112" s="25" t="n">
        <x:v>77920957.35686259</x:v>
      </x:c>
      <x:c r="G112" s="25" t="n">
        <x:v>9103019.923255362</x:v>
      </x:c>
      <x:c r="H112" s="25" t="n">
        <x:v>74224.42387321958</x:v>
      </x:c>
      <x:c r="I112" s="25" t="n">
        <x:v>50000</x:v>
      </x:c>
      <x:c r="J112" s="25" t="n">
        <x:v>68693713.009734</x:v>
      </x:c>
      <x:c r="K112" s="30" t="n">
        <x:v>0.011682376900947623</x:v>
      </x:c>
      <x:c r="L112" s="25" t="n">
        <x:v>8815819.946247628</x:v>
      </x:c>
      <x:c r="M112" s="25" t="n">
        <x:v>0.45</x:v>
      </x:c>
      <x:c r="N112" s="25" t="n">
        <x:v>0.5</x:v>
      </x:c>
      <x:c r="O112" s="25" t="n">
        <x:v>0.8</x:v>
      </x:c>
      <x:c r="P112" s="30" t="n">
        <x:v>0.10000000000000002</x:v>
      </x:c>
      <x:c r="Q112" s="25" t="n">
        <x:v>41186040.71368179</x:v>
      </x:c>
      <x:c r="R112" s="25" t="n">
        <x:v>27507672.296052217</x:v>
      </x:c>
    </x:row>
    <x:row r="113" ht="19" customHeight="1">
      <x:c r="A113" s="30" t="str">
        <x:v>surrogate_rules</x:v>
      </x:c>
      <x:c r="B113" s="25" t="n">
        <x:v>10000</x:v>
      </x:c>
      <x:c r="C113" s="25" t="n">
        <x:v>3765.1483946495546</x:v>
      </x:c>
      <x:c r="D113" s="25" t="n">
        <x:v>6486.439612374531</x:v>
      </x:c>
      <x:c r="E113" s="25" t="n">
        <x:v>298677564.11646104</x:v>
      </x:c>
      <x:c r="F113" s="25" t="n">
        <x:v>11947102.56465844</x:v>
      </x:c>
      <x:c r="G113" s="25" t="n">
        <x:v>7585232.076657923</x:v>
      </x:c>
      <x:c r="H113" s="25" t="n">
        <x:v>324321.9806187265</x:v>
      </x:c>
      <x:c r="I113" s="25" t="n">
        <x:v>0</x:v>
      </x:c>
      <x:c r="J113" s="25" t="n">
        <x:v>4037548.5073817912</x:v>
      </x:c>
      <x:c r="K113" s="30" t="n">
        <x:v>0.025396055773711453</x:v>
      </x:c>
      <x:c r="L113" s="25" t="n">
        <x:v>1351808.435737564</x:v>
      </x:c>
      <x:c r="M113" s="25" t="n">
        <x:v>0.45</x:v>
      </x:c>
      <x:c r="N113" s="25" t="n">
        <x:v>1</x:v>
      </x:c>
      <x:c r="O113" s="25" t="n">
        <x:v>0.4</x:v>
      </x:c>
      <x:c r="P113" s="30" t="n">
        <x:v>0.039999999999999994</x:v>
      </x:c>
      <x:c r="Q113" s="25" t="n">
        <x:v>4037548.5073817912</x:v>
      </x:c>
      <x:c r="R113" s="25" t="n">
        <x:v>0</x:v>
      </x:c>
    </x:row>
    <x:row r="114" ht="19" customHeight="1">
      <x:c r="A114" s="30" t="str">
        <x:v>A_conservative</x:v>
      </x:c>
      <x:c r="B114" s="25" t="n">
        <x:v>10000</x:v>
      </x:c>
      <x:c r="C114" s="25" t="n">
        <x:v>5948.121490667072</x:v>
      </x:c>
      <x:c r="D114" s="25" t="n">
        <x:v>2479.2420924837947</x:v>
      </x:c>
      <x:c r="E114" s="25" t="n">
        <x:v>565061243.9569017</x:v>
      </x:c>
      <x:c r="F114" s="25" t="n">
        <x:v>22602449.758276064</x:v>
      </x:c>
      <x:c r="G114" s="25" t="n">
        <x:v>9871571.96435927</x:v>
      </x:c>
      <x:c r="H114" s="25" t="n">
        <x:v>123962.10462418974</x:v>
      </x:c>
      <x:c r="I114" s="25" t="n">
        <x:v>50000</x:v>
      </x:c>
      <x:c r="J114" s="25" t="n">
        <x:v>12556915.689292604</x:v>
      </x:c>
      <x:c r="K114" s="30" t="n">
        <x:v>0.017469915110851584</x:v>
      </x:c>
      <x:c r="L114" s="25" t="n">
        <x:v>2222222.073020167</x:v>
      </x:c>
      <x:c r="M114" s="25" t="n">
        <x:v>0.45</x:v>
      </x:c>
      <x:c r="N114" s="25" t="n">
        <x:v>1</x:v>
      </x:c>
      <x:c r="O114" s="25" t="n">
        <x:v>0.4</x:v>
      </x:c>
      <x:c r="P114" s="30" t="n">
        <x:v>0.039999999999999994</x:v>
      </x:c>
      <x:c r="Q114" s="25" t="n">
        <x:v>4037548.5073817912</x:v>
      </x:c>
      <x:c r="R114" s="25" t="n">
        <x:v>8519367.181910813</x:v>
      </x:c>
    </x:row>
    <x:row r="115" ht="19" customHeight="1">
      <x:c r="A115" s="30" t="str">
        <x:v>B_balanced</x:v>
      </x:c>
      <x:c r="B115" s="25" t="n">
        <x:v>10000</x:v>
      </x:c>
      <x:c r="C115" s="25" t="n">
        <x:v>7554.577579291957</x:v>
      </x:c>
      <x:c r="D115" s="25" t="n">
        <x:v>1484.4884774643917</x:v>
      </x:c>
      <x:c r="E115" s="25" t="n">
        <x:v>737643896.1996229</x:v>
      </x:c>
      <x:c r="F115" s="25" t="n">
        <x:v>29505755.84798491</x:v>
      </x:c>
      <x:c r="G115" s="25" t="n">
        <x:v>16102716.41338045</x:v>
      </x:c>
      <x:c r="H115" s="25" t="n">
        <x:v>74224.42387321958</x:v>
      </x:c>
      <x:c r="I115" s="25" t="n">
        <x:v>50000</x:v>
      </x:c>
      <x:c r="J115" s="25" t="n">
        <x:v>13278815.01073124</x:v>
      </x:c>
      <x:c r="K115" s="30" t="n">
        <x:v>0.02182993243263101</x:v>
      </x:c>
      <x:c r="L115" s="25" t="n">
        <x:v>1800166.052907689</x:v>
      </x:c>
      <x:c r="M115" s="25" t="n">
        <x:v>0.45</x:v>
      </x:c>
      <x:c r="N115" s="25" t="n">
        <x:v>1</x:v>
      </x:c>
      <x:c r="O115" s="25" t="n">
        <x:v>0.4</x:v>
      </x:c>
      <x:c r="P115" s="30" t="n">
        <x:v>0.039999999999999994</x:v>
      </x:c>
      <x:c r="Q115" s="25" t="n">
        <x:v>4037548.5073817912</x:v>
      </x:c>
      <x:c r="R115" s="25" t="n">
        <x:v>9241266.50334945</x:v>
      </x:c>
    </x:row>
    <x:row r="116" ht="19" customHeight="1">
      <x:c r="A116" s="30" t="str">
        <x:v>surrogate_rules</x:v>
      </x:c>
      <x:c r="B116" s="25" t="n">
        <x:v>10000</x:v>
      </x:c>
      <x:c r="C116" s="25" t="n">
        <x:v>3765.1483946495546</x:v>
      </x:c>
      <x:c r="D116" s="25" t="n">
        <x:v>6486.439612374531</x:v>
      </x:c>
      <x:c r="E116" s="25" t="n">
        <x:v>298677564.11646104</x:v>
      </x:c>
      <x:c r="F116" s="25" t="n">
        <x:v>20907429.488152273</x:v>
      </x:c>
      <x:c r="G116" s="25" t="n">
        <x:v>7585232.076657923</x:v>
      </x:c>
      <x:c r="H116" s="25" t="n">
        <x:v>324321.9806187265</x:v>
      </x:c>
      <x:c r="I116" s="25" t="n">
        <x:v>0</x:v>
      </x:c>
      <x:c r="J116" s="25" t="n">
        <x:v>12997875.430875624</x:v>
      </x:c>
      <x:c r="K116" s="30" t="n">
        <x:v>0.025396055773711453</x:v>
      </x:c>
      <x:c r="L116" s="25" t="n">
        <x:v>4351808.435737564</x:v>
      </x:c>
      <x:c r="M116" s="25" t="n">
        <x:v>0.45</x:v>
      </x:c>
      <x:c r="N116" s="25" t="n">
        <x:v>1</x:v>
      </x:c>
      <x:c r="O116" s="25" t="n">
        <x:v>0.4</x:v>
      </x:c>
      <x:c r="P116" s="30" t="n">
        <x:v>0.07</x:v>
      </x:c>
      <x:c r="Q116" s="25" t="n">
        <x:v>12997875.430875624</x:v>
      </x:c>
      <x:c r="R116" s="25" t="n">
        <x:v>0</x:v>
      </x:c>
    </x:row>
    <x:row r="117" ht="19" customHeight="1">
      <x:c r="A117" s="30" t="str">
        <x:v>A_conservative</x:v>
      </x:c>
      <x:c r="B117" s="25" t="n">
        <x:v>10000</x:v>
      </x:c>
      <x:c r="C117" s="25" t="n">
        <x:v>5948.121490667072</x:v>
      </x:c>
      <x:c r="D117" s="25" t="n">
        <x:v>2479.2420924837947</x:v>
      </x:c>
      <x:c r="E117" s="25" t="n">
        <x:v>565061243.9569017</x:v>
      </x:c>
      <x:c r="F117" s="25" t="n">
        <x:v>39554287.076983124</x:v>
      </x:c>
      <x:c r="G117" s="25" t="n">
        <x:v>9871571.96435927</x:v>
      </x:c>
      <x:c r="H117" s="25" t="n">
        <x:v>123962.10462418974</x:v>
      </x:c>
      <x:c r="I117" s="25" t="n">
        <x:v>50000</x:v>
      </x:c>
      <x:c r="J117" s="25" t="n">
        <x:v>29508753.007999666</x:v>
      </x:c>
      <x:c r="K117" s="30" t="n">
        <x:v>0.017469915110851584</x:v>
      </x:c>
      <x:c r="L117" s="25" t="n">
        <x:v>5222222.0730201695</x:v>
      </x:c>
      <x:c r="M117" s="25" t="n">
        <x:v>0.45</x:v>
      </x:c>
      <x:c r="N117" s="25" t="n">
        <x:v>1</x:v>
      </x:c>
      <x:c r="O117" s="25" t="n">
        <x:v>0.4</x:v>
      </x:c>
      <x:c r="P117" s="30" t="n">
        <x:v>0.07</x:v>
      </x:c>
      <x:c r="Q117" s="25" t="n">
        <x:v>12997875.430875624</x:v>
      </x:c>
      <x:c r="R117" s="25" t="n">
        <x:v>16510877.577124042</x:v>
      </x:c>
    </x:row>
    <x:row r="118" ht="19" customHeight="1">
      <x:c r="A118" s="30" t="str">
        <x:v>B_balanced</x:v>
      </x:c>
      <x:c r="B118" s="25" t="n">
        <x:v>10000</x:v>
      </x:c>
      <x:c r="C118" s="25" t="n">
        <x:v>7554.577579291957</x:v>
      </x:c>
      <x:c r="D118" s="25" t="n">
        <x:v>1484.4884774643917</x:v>
      </x:c>
      <x:c r="E118" s="25" t="n">
        <x:v>737643896.1996229</x:v>
      </x:c>
      <x:c r="F118" s="25" t="n">
        <x:v>51635072.73397361</x:v>
      </x:c>
      <x:c r="G118" s="25" t="n">
        <x:v>16102716.41338045</x:v>
      </x:c>
      <x:c r="H118" s="25" t="n">
        <x:v>74224.42387321958</x:v>
      </x:c>
      <x:c r="I118" s="25" t="n">
        <x:v>50000</x:v>
      </x:c>
      <x:c r="J118" s="25" t="n">
        <x:v>35408131.89671994</x:v>
      </x:c>
      <x:c r="K118" s="30" t="n">
        <x:v>0.02182993243263101</x:v>
      </x:c>
      <x:c r="L118" s="25" t="n">
        <x:v>4800166.052907691</x:v>
      </x:c>
      <x:c r="M118" s="25" t="n">
        <x:v>0.45</x:v>
      </x:c>
      <x:c r="N118" s="25" t="n">
        <x:v>1</x:v>
      </x:c>
      <x:c r="O118" s="25" t="n">
        <x:v>0.4</x:v>
      </x:c>
      <x:c r="P118" s="30" t="n">
        <x:v>0.07</x:v>
      </x:c>
      <x:c r="Q118" s="25" t="n">
        <x:v>12997875.430875624</x:v>
      </x:c>
      <x:c r="R118" s="25" t="n">
        <x:v>22410256.46584432</x:v>
      </x:c>
    </x:row>
    <x:row r="119" ht="19" customHeight="1">
      <x:c r="A119" s="30" t="str">
        <x:v>surrogate_rules</x:v>
      </x:c>
      <x:c r="B119" s="25" t="n">
        <x:v>10000</x:v>
      </x:c>
      <x:c r="C119" s="25" t="n">
        <x:v>3765.1483946495546</x:v>
      </x:c>
      <x:c r="D119" s="25" t="n">
        <x:v>6486.439612374531</x:v>
      </x:c>
      <x:c r="E119" s="25" t="n">
        <x:v>298677564.11646104</x:v>
      </x:c>
      <x:c r="F119" s="25" t="n">
        <x:v>29867756.41164611</x:v>
      </x:c>
      <x:c r="G119" s="25" t="n">
        <x:v>7585232.076657923</x:v>
      </x:c>
      <x:c r="H119" s="25" t="n">
        <x:v>324321.9806187265</x:v>
      </x:c>
      <x:c r="I119" s="25" t="n">
        <x:v>0</x:v>
      </x:c>
      <x:c r="J119" s="25" t="n">
        <x:v>21958202.354369458</x:v>
      </x:c>
      <x:c r="K119" s="30" t="n">
        <x:v>0.025396055773711453</x:v>
      </x:c>
      <x:c r="L119" s="25" t="n">
        <x:v>7351808.435737565</x:v>
      </x:c>
      <x:c r="M119" s="25" t="n">
        <x:v>0.45</x:v>
      </x:c>
      <x:c r="N119" s="25" t="n">
        <x:v>1</x:v>
      </x:c>
      <x:c r="O119" s="25" t="n">
        <x:v>0.4</x:v>
      </x:c>
      <x:c r="P119" s="30" t="n">
        <x:v>0.10000000000000002</x:v>
      </x:c>
      <x:c r="Q119" s="25" t="n">
        <x:v>21958202.354369458</x:v>
      </x:c>
      <x:c r="R119" s="25" t="n">
        <x:v>0</x:v>
      </x:c>
    </x:row>
    <x:row r="120" ht="19" customHeight="1">
      <x:c r="A120" s="30" t="str">
        <x:v>A_conservative</x:v>
      </x:c>
      <x:c r="B120" s="25" t="n">
        <x:v>10000</x:v>
      </x:c>
      <x:c r="C120" s="25" t="n">
        <x:v>5948.121490667072</x:v>
      </x:c>
      <x:c r="D120" s="25" t="n">
        <x:v>2479.2420924837947</x:v>
      </x:c>
      <x:c r="E120" s="25" t="n">
        <x:v>565061243.9569017</x:v>
      </x:c>
      <x:c r="F120" s="25" t="n">
        <x:v>56506124.39569018</x:v>
      </x:c>
      <x:c r="G120" s="25" t="n">
        <x:v>9871571.96435927</x:v>
      </x:c>
      <x:c r="H120" s="25" t="n">
        <x:v>123962.10462418974</x:v>
      </x:c>
      <x:c r="I120" s="25" t="n">
        <x:v>50000</x:v>
      </x:c>
      <x:c r="J120" s="25" t="n">
        <x:v>46460590.32670672</x:v>
      </x:c>
      <x:c r="K120" s="30" t="n">
        <x:v>0.017469915110851584</x:v>
      </x:c>
      <x:c r="L120" s="25" t="n">
        <x:v>8222222.07302017</x:v>
      </x:c>
      <x:c r="M120" s="25" t="n">
        <x:v>0.45</x:v>
      </x:c>
      <x:c r="N120" s="25" t="n">
        <x:v>1</x:v>
      </x:c>
      <x:c r="O120" s="25" t="n">
        <x:v>0.4</x:v>
      </x:c>
      <x:c r="P120" s="30" t="n">
        <x:v>0.10000000000000002</x:v>
      </x:c>
      <x:c r="Q120" s="25" t="n">
        <x:v>21958202.354369458</x:v>
      </x:c>
      <x:c r="R120" s="25" t="n">
        <x:v>24502387.972337265</x:v>
      </x:c>
    </x:row>
    <x:row r="121" ht="19" customHeight="1">
      <x:c r="A121" s="30" t="str">
        <x:v>B_balanced</x:v>
      </x:c>
      <x:c r="B121" s="25" t="n">
        <x:v>10000</x:v>
      </x:c>
      <x:c r="C121" s="25" t="n">
        <x:v>7554.577579291957</x:v>
      </x:c>
      <x:c r="D121" s="25" t="n">
        <x:v>1484.4884774643917</x:v>
      </x:c>
      <x:c r="E121" s="25" t="n">
        <x:v>737643896.1996229</x:v>
      </x:c>
      <x:c r="F121" s="25" t="n">
        <x:v>73764389.6199623</x:v>
      </x:c>
      <x:c r="G121" s="25" t="n">
        <x:v>16102716.41338045</x:v>
      </x:c>
      <x:c r="H121" s="25" t="n">
        <x:v>74224.42387321958</x:v>
      </x:c>
      <x:c r="I121" s="25" t="n">
        <x:v>50000</x:v>
      </x:c>
      <x:c r="J121" s="25" t="n">
        <x:v>57537448.78270864</x:v>
      </x:c>
      <x:c r="K121" s="30" t="n">
        <x:v>0.02182993243263101</x:v>
      </x:c>
      <x:c r="L121" s="25" t="n">
        <x:v>7800166.052907692</x:v>
      </x:c>
      <x:c r="M121" s="25" t="n">
        <x:v>0.45</x:v>
      </x:c>
      <x:c r="N121" s="25" t="n">
        <x:v>1</x:v>
      </x:c>
      <x:c r="O121" s="25" t="n">
        <x:v>0.4</x:v>
      </x:c>
      <x:c r="P121" s="30" t="n">
        <x:v>0.10000000000000002</x:v>
      </x:c>
      <x:c r="Q121" s="25" t="n">
        <x:v>21958202.354369458</x:v>
      </x:c>
      <x:c r="R121" s="25" t="n">
        <x:v>35579246.42833918</x:v>
      </x:c>
    </x:row>
    <x:row r="122" ht="19" customHeight="1">
      <x:c r="A122" s="30" t="str">
        <x:v>surrogate_rules</x:v>
      </x:c>
      <x:c r="B122" s="25" t="n">
        <x:v>10000</x:v>
      </x:c>
      <x:c r="C122" s="25" t="n">
        <x:v>5062.43631712446</x:v>
      </x:c>
      <x:c r="D122" s="25" t="n">
        <x:v>6486.439612374531</x:v>
      </x:c>
      <x:c r="E122" s="25" t="n">
        <x:v>389487718.6897046</x:v>
      </x:c>
      <x:c r="F122" s="25" t="n">
        <x:v>15579508.747588182</x:v>
      </x:c>
      <x:c r="G122" s="25" t="n">
        <x:v>10312040.670323238</x:v>
      </x:c>
      <x:c r="H122" s="25" t="n">
        <x:v>324321.9806187265</x:v>
      </x:c>
      <x:c r="I122" s="25" t="n">
        <x:v>0</x:v>
      </x:c>
      <x:c r="J122" s="25" t="n">
        <x:v>4943146.096646218</x:v>
      </x:c>
      <x:c r="K122" s="30" t="n">
        <x:v>0.02647590713518387</x:v>
      </x:c>
      <x:c r="L122" s="25" t="n">
        <x:v>1269140.4271425314</x:v>
      </x:c>
      <x:c r="M122" s="25" t="n">
        <x:v>0.45</x:v>
      </x:c>
      <x:c r="N122" s="25" t="n">
        <x:v>1</x:v>
      </x:c>
      <x:c r="O122" s="25" t="n">
        <x:v>0.6</x:v>
      </x:c>
      <x:c r="P122" s="30" t="n">
        <x:v>0.039999999999999994</x:v>
      </x:c>
      <x:c r="Q122" s="25" t="n">
        <x:v>4943146.096646218</x:v>
      </x:c>
      <x:c r="R122" s="25" t="n">
        <x:v>0</x:v>
      </x:c>
    </x:row>
    <x:row r="123" ht="19" customHeight="1">
      <x:c r="A123" s="30" t="str">
        <x:v>A_conservative</x:v>
      </x:c>
      <x:c r="B123" s="25" t="n">
        <x:v>10000</x:v>
      </x:c>
      <x:c r="C123" s="25" t="n">
        <x:v>6443.96990916383</x:v>
      </x:c>
      <x:c r="D123" s="25" t="n">
        <x:v>2479.2420924837947</x:v>
      </x:c>
      <x:c r="E123" s="25" t="n">
        <x:v>599770633.2516748</x:v>
      </x:c>
      <x:c r="F123" s="25" t="n">
        <x:v>23990825.330066986</x:v>
      </x:c>
      <x:c r="G123" s="25" t="n">
        <x:v>11095323.7799987</x:v>
      </x:c>
      <x:c r="H123" s="25" t="n">
        <x:v>123962.10462418974</x:v>
      </x:c>
      <x:c r="I123" s="25" t="n">
        <x:v>50000</x:v>
      </x:c>
      <x:c r="J123" s="25" t="n">
        <x:v>12721539.445444098</x:v>
      </x:c>
      <x:c r="K123" s="30" t="n">
        <x:v>0.018499278165463127</x:v>
      </x:c>
      <x:c r="L123" s="25" t="n">
        <x:v>2121067.411465927</x:v>
      </x:c>
      <x:c r="M123" s="25" t="n">
        <x:v>0.45</x:v>
      </x:c>
      <x:c r="N123" s="25" t="n">
        <x:v>1</x:v>
      </x:c>
      <x:c r="O123" s="25" t="n">
        <x:v>0.6</x:v>
      </x:c>
      <x:c r="P123" s="30" t="n">
        <x:v>0.039999999999999994</x:v>
      </x:c>
      <x:c r="Q123" s="25" t="n">
        <x:v>4943146.096646218</x:v>
      </x:c>
      <x:c r="R123" s="25" t="n">
        <x:v>7778393.34879788</x:v>
      </x:c>
    </x:row>
    <x:row r="124" ht="19" customHeight="1">
      <x:c r="A124" s="30" t="str">
        <x:v>B_balanced</x:v>
      </x:c>
      <x:c r="B124" s="25" t="n">
        <x:v>10000</x:v>
      </x:c>
      <x:c r="C124" s="25" t="n">
        <x:v>7851.4752747848315</x:v>
      </x:c>
      <x:c r="D124" s="25" t="n">
        <x:v>1484.4884774643917</x:v>
      </x:c>
      <x:c r="E124" s="25" t="n">
        <x:v>758426734.8841242</x:v>
      </x:c>
      <x:c r="F124" s="25" t="n">
        <x:v>30337069.395364963</x:v>
      </x:c>
      <x:c r="G124" s="25" t="n">
        <x:v>17154378.129945587</x:v>
      </x:c>
      <x:c r="H124" s="25" t="n">
        <x:v>74224.42387321958</x:v>
      </x:c>
      <x:c r="I124" s="25" t="n">
        <x:v>50000</x:v>
      </x:c>
      <x:c r="J124" s="25" t="n">
        <x:v>13058466.841546156</x:v>
      </x:c>
      <x:c r="K124" s="30" t="n">
        <x:v>0.02261837213922385</x:v>
      </x:c>
      <x:c r="L124" s="25" t="n">
        <x:v>1721783.5607471415</x:v>
      </x:c>
      <x:c r="M124" s="25" t="n">
        <x:v>0.45</x:v>
      </x:c>
      <x:c r="N124" s="25" t="n">
        <x:v>1</x:v>
      </x:c>
      <x:c r="O124" s="25" t="n">
        <x:v>0.6</x:v>
      </x:c>
      <x:c r="P124" s="30" t="n">
        <x:v>0.039999999999999994</x:v>
      </x:c>
      <x:c r="Q124" s="25" t="n">
        <x:v>4943146.096646218</x:v>
      </x:c>
      <x:c r="R124" s="25" t="n">
        <x:v>8115320.744899938</x:v>
      </x:c>
    </x:row>
    <x:row r="125" ht="19" customHeight="1">
      <x:c r="A125" s="30" t="str">
        <x:v>surrogate_rules</x:v>
      </x:c>
      <x:c r="B125" s="25" t="n">
        <x:v>10000</x:v>
      </x:c>
      <x:c r="C125" s="25" t="n">
        <x:v>5062.43631712446</x:v>
      </x:c>
      <x:c r="D125" s="25" t="n">
        <x:v>6486.439612374531</x:v>
      </x:c>
      <x:c r="E125" s="25" t="n">
        <x:v>389487718.6897046</x:v>
      </x:c>
      <x:c r="F125" s="25" t="n">
        <x:v>27264140.308279324</x:v>
      </x:c>
      <x:c r="G125" s="25" t="n">
        <x:v>10312040.670323238</x:v>
      </x:c>
      <x:c r="H125" s="25" t="n">
        <x:v>324321.9806187265</x:v>
      </x:c>
      <x:c r="I125" s="25" t="n">
        <x:v>0</x:v>
      </x:c>
      <x:c r="J125" s="25" t="n">
        <x:v>16627777.65733736</x:v>
      </x:c>
      <x:c r="K125" s="30" t="n">
        <x:v>0.02647590713518387</x:v>
      </x:c>
      <x:c r="L125" s="25" t="n">
        <x:v>4269140.427142533</x:v>
      </x:c>
      <x:c r="M125" s="25" t="n">
        <x:v>0.45</x:v>
      </x:c>
      <x:c r="N125" s="25" t="n">
        <x:v>1</x:v>
      </x:c>
      <x:c r="O125" s="25" t="n">
        <x:v>0.6</x:v>
      </x:c>
      <x:c r="P125" s="30" t="n">
        <x:v>0.07</x:v>
      </x:c>
      <x:c r="Q125" s="25" t="n">
        <x:v>16627777.65733736</x:v>
      </x:c>
      <x:c r="R125" s="25" t="n">
        <x:v>0</x:v>
      </x:c>
    </x:row>
    <x:row r="126" ht="19" customHeight="1">
      <x:c r="A126" s="30" t="str">
        <x:v>A_conservative</x:v>
      </x:c>
      <x:c r="B126" s="25" t="n">
        <x:v>10000</x:v>
      </x:c>
      <x:c r="C126" s="25" t="n">
        <x:v>6443.96990916383</x:v>
      </x:c>
      <x:c r="D126" s="25" t="n">
        <x:v>2479.2420924837947</x:v>
      </x:c>
      <x:c r="E126" s="25" t="n">
        <x:v>599770633.2516748</x:v>
      </x:c>
      <x:c r="F126" s="25" t="n">
        <x:v>41983944.327617235</x:v>
      </x:c>
      <x:c r="G126" s="25" t="n">
        <x:v>11095323.7799987</x:v>
      </x:c>
      <x:c r="H126" s="25" t="n">
        <x:v>123962.10462418974</x:v>
      </x:c>
      <x:c r="I126" s="25" t="n">
        <x:v>50000</x:v>
      </x:c>
      <x:c r="J126" s="25" t="n">
        <x:v>30714658.44299435</x:v>
      </x:c>
      <x:c r="K126" s="30" t="n">
        <x:v>0.018499278165463127</x:v>
      </x:c>
      <x:c r="L126" s="25" t="n">
        <x:v>5121067.411465929</x:v>
      </x:c>
      <x:c r="M126" s="25" t="n">
        <x:v>0.45</x:v>
      </x:c>
      <x:c r="N126" s="25" t="n">
        <x:v>1</x:v>
      </x:c>
      <x:c r="O126" s="25" t="n">
        <x:v>0.6</x:v>
      </x:c>
      <x:c r="P126" s="30" t="n">
        <x:v>0.07</x:v>
      </x:c>
      <x:c r="Q126" s="25" t="n">
        <x:v>16627777.65733736</x:v>
      </x:c>
      <x:c r="R126" s="25" t="n">
        <x:v>14086880.785656989</x:v>
      </x:c>
    </x:row>
    <x:row r="127" ht="19" customHeight="1">
      <x:c r="A127" s="30" t="str">
        <x:v>B_balanced</x:v>
      </x:c>
      <x:c r="B127" s="25" t="n">
        <x:v>10000</x:v>
      </x:c>
      <x:c r="C127" s="25" t="n">
        <x:v>7851.4752747848315</x:v>
      </x:c>
      <x:c r="D127" s="25" t="n">
        <x:v>1484.4884774643917</x:v>
      </x:c>
      <x:c r="E127" s="25" t="n">
        <x:v>758426734.8841242</x:v>
      </x:c>
      <x:c r="F127" s="25" t="n">
        <x:v>53089871.4418887</x:v>
      </x:c>
      <x:c r="G127" s="25" t="n">
        <x:v>17154378.129945587</x:v>
      </x:c>
      <x:c r="H127" s="25" t="n">
        <x:v>74224.42387321958</x:v>
      </x:c>
      <x:c r="I127" s="25" t="n">
        <x:v>50000</x:v>
      </x:c>
      <x:c r="J127" s="25" t="n">
        <x:v>35811268.8880699</x:v>
      </x:c>
      <x:c r="K127" s="30" t="n">
        <x:v>0.02261837213922385</x:v>
      </x:c>
      <x:c r="L127" s="25" t="n">
        <x:v>4721783.560747144</x:v>
      </x:c>
      <x:c r="M127" s="25" t="n">
        <x:v>0.45</x:v>
      </x:c>
      <x:c r="N127" s="25" t="n">
        <x:v>1</x:v>
      </x:c>
      <x:c r="O127" s="25" t="n">
        <x:v>0.6</x:v>
      </x:c>
      <x:c r="P127" s="30" t="n">
        <x:v>0.07</x:v>
      </x:c>
      <x:c r="Q127" s="25" t="n">
        <x:v>16627777.65733736</x:v>
      </x:c>
      <x:c r="R127" s="25" t="n">
        <x:v>19183491.230732538</x:v>
      </x:c>
    </x:row>
    <x:row r="128" ht="19" customHeight="1">
      <x:c r="A128" s="30" t="str">
        <x:v>surrogate_rules</x:v>
      </x:c>
      <x:c r="B128" s="25" t="n">
        <x:v>10000</x:v>
      </x:c>
      <x:c r="C128" s="25" t="n">
        <x:v>5062.43631712446</x:v>
      </x:c>
      <x:c r="D128" s="25" t="n">
        <x:v>6486.439612374531</x:v>
      </x:c>
      <x:c r="E128" s="25" t="n">
        <x:v>389487718.6897046</x:v>
      </x:c>
      <x:c r="F128" s="25" t="n">
        <x:v>38948771.86897047</x:v>
      </x:c>
      <x:c r="G128" s="25" t="n">
        <x:v>10312040.670323238</x:v>
      </x:c>
      <x:c r="H128" s="25" t="n">
        <x:v>324321.9806187265</x:v>
      </x:c>
      <x:c r="I128" s="25" t="n">
        <x:v>0</x:v>
      </x:c>
      <x:c r="J128" s="25" t="n">
        <x:v>28312409.218028504</x:v>
      </x:c>
      <x:c r="K128" s="30" t="n">
        <x:v>0.02647590713518387</x:v>
      </x:c>
      <x:c r="L128" s="25" t="n">
        <x:v>7269140.427142534</x:v>
      </x:c>
      <x:c r="M128" s="25" t="n">
        <x:v>0.45</x:v>
      </x:c>
      <x:c r="N128" s="25" t="n">
        <x:v>1</x:v>
      </x:c>
      <x:c r="O128" s="25" t="n">
        <x:v>0.6</x:v>
      </x:c>
      <x:c r="P128" s="30" t="n">
        <x:v>0.10000000000000002</x:v>
      </x:c>
      <x:c r="Q128" s="25" t="n">
        <x:v>28312409.218028504</x:v>
      </x:c>
      <x:c r="R128" s="25" t="n">
        <x:v>0</x:v>
      </x:c>
    </x:row>
    <x:row r="129" ht="19" customHeight="1">
      <x:c r="A129" s="30" t="str">
        <x:v>A_conservative</x:v>
      </x:c>
      <x:c r="B129" s="25" t="n">
        <x:v>10000</x:v>
      </x:c>
      <x:c r="C129" s="25" t="n">
        <x:v>6443.96990916383</x:v>
      </x:c>
      <x:c r="D129" s="25" t="n">
        <x:v>2479.2420924837947</x:v>
      </x:c>
      <x:c r="E129" s="25" t="n">
        <x:v>599770633.2516748</x:v>
      </x:c>
      <x:c r="F129" s="25" t="n">
        <x:v>59977063.32516749</x:v>
      </x:c>
      <x:c r="G129" s="25" t="n">
        <x:v>11095323.7799987</x:v>
      </x:c>
      <x:c r="H129" s="25" t="n">
        <x:v>123962.10462418974</x:v>
      </x:c>
      <x:c r="I129" s="25" t="n">
        <x:v>50000</x:v>
      </x:c>
      <x:c r="J129" s="25" t="n">
        <x:v>48707777.440544605</x:v>
      </x:c>
      <x:c r="K129" s="30" t="n">
        <x:v>0.018499278165463127</x:v>
      </x:c>
      <x:c r="L129" s="25" t="n">
        <x:v>8121067.411465931</x:v>
      </x:c>
      <x:c r="M129" s="25" t="n">
        <x:v>0.45</x:v>
      </x:c>
      <x:c r="N129" s="25" t="n">
        <x:v>1</x:v>
      </x:c>
      <x:c r="O129" s="25" t="n">
        <x:v>0.6</x:v>
      </x:c>
      <x:c r="P129" s="30" t="n">
        <x:v>0.10000000000000002</x:v>
      </x:c>
      <x:c r="Q129" s="25" t="n">
        <x:v>28312409.218028504</x:v>
      </x:c>
      <x:c r="R129" s="25" t="n">
        <x:v>20395368.2225161</x:v>
      </x:c>
    </x:row>
    <x:row r="130" ht="19" customHeight="1">
      <x:c r="A130" s="30" t="str">
        <x:v>B_balanced</x:v>
      </x:c>
      <x:c r="B130" s="25" t="n">
        <x:v>10000</x:v>
      </x:c>
      <x:c r="C130" s="25" t="n">
        <x:v>7851.4752747848315</x:v>
      </x:c>
      <x:c r="D130" s="25" t="n">
        <x:v>1484.4884774643917</x:v>
      </x:c>
      <x:c r="E130" s="25" t="n">
        <x:v>758426734.8841242</x:v>
      </x:c>
      <x:c r="F130" s="25" t="n">
        <x:v>75842673.48841242</x:v>
      </x:c>
      <x:c r="G130" s="25" t="n">
        <x:v>17154378.129945587</x:v>
      </x:c>
      <x:c r="H130" s="25" t="n">
        <x:v>74224.42387321958</x:v>
      </x:c>
      <x:c r="I130" s="25" t="n">
        <x:v>50000</x:v>
      </x:c>
      <x:c r="J130" s="25" t="n">
        <x:v>58564070.93459362</x:v>
      </x:c>
      <x:c r="K130" s="30" t="n">
        <x:v>0.02261837213922385</x:v>
      </x:c>
      <x:c r="L130" s="25" t="n">
        <x:v>7721783.560747143</x:v>
      </x:c>
      <x:c r="M130" s="25" t="n">
        <x:v>0.45</x:v>
      </x:c>
      <x:c r="N130" s="25" t="n">
        <x:v>1</x:v>
      </x:c>
      <x:c r="O130" s="25" t="n">
        <x:v>0.6</x:v>
      </x:c>
      <x:c r="P130" s="30" t="n">
        <x:v>0.10000000000000002</x:v>
      </x:c>
      <x:c r="Q130" s="25" t="n">
        <x:v>28312409.218028504</x:v>
      </x:c>
      <x:c r="R130" s="25" t="n">
        <x:v>30251661.716565114</x:v>
      </x:c>
    </x:row>
    <x:row r="131" ht="19" customHeight="1">
      <x:c r="A131" s="30" t="str">
        <x:v>surrogate_rules</x:v>
      </x:c>
      <x:c r="B131" s="25" t="n">
        <x:v>10000</x:v>
      </x:c>
      <x:c r="C131" s="25" t="n">
        <x:v>6359.724239599367</x:v>
      </x:c>
      <x:c r="D131" s="25" t="n">
        <x:v>6486.439612374531</x:v>
      </x:c>
      <x:c r="E131" s="25" t="n">
        <x:v>480297873.26294786</x:v>
      </x:c>
      <x:c r="F131" s="25" t="n">
        <x:v>19211914.930517912</x:v>
      </x:c>
      <x:c r="G131" s="25" t="n">
        <x:v>13038849.263988554</x:v>
      </x:c>
      <x:c r="H131" s="25" t="n">
        <x:v>324321.9806187265</x:v>
      </x:c>
      <x:c r="I131" s="25" t="n">
        <x:v>0</x:v>
      </x:c>
      <x:c r="J131" s="25" t="n">
        <x:v>5848743.685910631</x:v>
      </x:c>
      <x:c r="K131" s="30" t="n">
        <x:v>0.027147422443093348</x:v>
      </x:c>
      <x:c r="L131" s="25" t="n">
        <x:v>1217732.580445683</x:v>
      </x:c>
      <x:c r="M131" s="25" t="n">
        <x:v>0.45</x:v>
      </x:c>
      <x:c r="N131" s="25" t="n">
        <x:v>1</x:v>
      </x:c>
      <x:c r="O131" s="25" t="n">
        <x:v>0.8</x:v>
      </x:c>
      <x:c r="P131" s="30" t="n">
        <x:v>0.039999999999999994</x:v>
      </x:c>
      <x:c r="Q131" s="25" t="n">
        <x:v>5848743.685910631</x:v>
      </x:c>
      <x:c r="R131" s="25" t="n">
        <x:v>0</x:v>
      </x:c>
    </x:row>
    <x:row r="132" ht="19" customHeight="1">
      <x:c r="A132" s="30" t="str">
        <x:v>A_conservative</x:v>
      </x:c>
      <x:c r="B132" s="25" t="n">
        <x:v>10000</x:v>
      </x:c>
      <x:c r="C132" s="25" t="n">
        <x:v>6939.81832766059</x:v>
      </x:c>
      <x:c r="D132" s="25" t="n">
        <x:v>2479.2420924837947</x:v>
      </x:c>
      <x:c r="E132" s="25" t="n">
        <x:v>634480022.5464479</x:v>
      </x:c>
      <x:c r="F132" s="25" t="n">
        <x:v>25379200.901857913</x:v>
      </x:c>
      <x:c r="G132" s="25" t="n">
        <x:v>12319075.59563813</x:v>
      </x:c>
      <x:c r="H132" s="25" t="n">
        <x:v>123962.10462418974</x:v>
      </x:c>
      <x:c r="I132" s="25" t="n">
        <x:v>50000</x:v>
      </x:c>
      <x:c r="J132" s="25" t="n">
        <x:v>12886163.201595593</x:v>
      </x:c>
      <x:c r="K132" s="30" t="n">
        <x:v>0.019416018090209132</x:v>
      </x:c>
      <x:c r="L132" s="25" t="n">
        <x:v>2030980.1323417157</x:v>
      </x:c>
      <x:c r="M132" s="25" t="n">
        <x:v>0.45</x:v>
      </x:c>
      <x:c r="N132" s="25" t="n">
        <x:v>1</x:v>
      </x:c>
      <x:c r="O132" s="25" t="n">
        <x:v>0.8</x:v>
      </x:c>
      <x:c r="P132" s="30" t="n">
        <x:v>0.039999999999999994</x:v>
      </x:c>
      <x:c r="Q132" s="25" t="n">
        <x:v>5848743.685910631</x:v>
      </x:c>
      <x:c r="R132" s="25" t="n">
        <x:v>7037419.515684962</x:v>
      </x:c>
    </x:row>
    <x:row r="133" ht="19" customHeight="1">
      <x:c r="A133" s="30" t="str">
        <x:v>B_balanced</x:v>
      </x:c>
      <x:c r="B133" s="25" t="n">
        <x:v>10000</x:v>
      </x:c>
      <x:c r="C133" s="25" t="n">
        <x:v>8148.372970277712</x:v>
      </x:c>
      <x:c r="D133" s="25" t="n">
        <x:v>1484.4884774643917</x:v>
      </x:c>
      <x:c r="E133" s="25" t="n">
        <x:v>779209573.5686258</x:v>
      </x:c>
      <x:c r="F133" s="25" t="n">
        <x:v>31168382.942745026</x:v>
      </x:c>
      <x:c r="G133" s="25" t="n">
        <x:v>18206039.846510723</x:v>
      </x:c>
      <x:c r="H133" s="25" t="n">
        <x:v>74224.42387321958</x:v>
      </x:c>
      <x:c r="I133" s="25" t="n">
        <x:v>50000</x:v>
      </x:c>
      <x:c r="J133" s="25" t="n">
        <x:v>12838118.672361083</x:v>
      </x:c>
      <x:c r="K133" s="30" t="n">
        <x:v>0.023364753801895247</x:v>
      </x:c>
      <x:c r="L133" s="25" t="n">
        <x:v>1647582.256152865</x:v>
      </x:c>
      <x:c r="M133" s="25" t="n">
        <x:v>0.45</x:v>
      </x:c>
      <x:c r="N133" s="25" t="n">
        <x:v>1</x:v>
      </x:c>
      <x:c r="O133" s="25" t="n">
        <x:v>0.8</x:v>
      </x:c>
      <x:c r="P133" s="30" t="n">
        <x:v>0.039999999999999994</x:v>
      </x:c>
      <x:c r="Q133" s="25" t="n">
        <x:v>5848743.685910631</x:v>
      </x:c>
      <x:c r="R133" s="25" t="n">
        <x:v>6989374.986450452</x:v>
      </x:c>
    </x:row>
    <x:row r="134" ht="19" customHeight="1">
      <x:c r="A134" s="30" t="str">
        <x:v>surrogate_rules</x:v>
      </x:c>
      <x:c r="B134" s="25" t="n">
        <x:v>10000</x:v>
      </x:c>
      <x:c r="C134" s="25" t="n">
        <x:v>6359.724239599367</x:v>
      </x:c>
      <x:c r="D134" s="25" t="n">
        <x:v>6486.439612374531</x:v>
      </x:c>
      <x:c r="E134" s="25" t="n">
        <x:v>480297873.26294786</x:v>
      </x:c>
      <x:c r="F134" s="25" t="n">
        <x:v>33620851.12840635</x:v>
      </x:c>
      <x:c r="G134" s="25" t="n">
        <x:v>13038849.263988554</x:v>
      </x:c>
      <x:c r="H134" s="25" t="n">
        <x:v>324321.9806187265</x:v>
      </x:c>
      <x:c r="I134" s="25" t="n">
        <x:v>0</x:v>
      </x:c>
      <x:c r="J134" s="25" t="n">
        <x:v>20257679.883799072</x:v>
      </x:c>
      <x:c r="K134" s="30" t="n">
        <x:v>0.027147422443093348</x:v>
      </x:c>
      <x:c r="L134" s="25" t="n">
        <x:v>4217732.5804456845</x:v>
      </x:c>
      <x:c r="M134" s="25" t="n">
        <x:v>0.45</x:v>
      </x:c>
      <x:c r="N134" s="25" t="n">
        <x:v>1</x:v>
      </x:c>
      <x:c r="O134" s="25" t="n">
        <x:v>0.8</x:v>
      </x:c>
      <x:c r="P134" s="30" t="n">
        <x:v>0.07</x:v>
      </x:c>
      <x:c r="Q134" s="25" t="n">
        <x:v>20257679.883799072</x:v>
      </x:c>
      <x:c r="R134" s="25" t="n">
        <x:v>0</x:v>
      </x:c>
    </x:row>
    <x:row r="135" ht="19" customHeight="1">
      <x:c r="A135" s="30" t="str">
        <x:v>A_conservative</x:v>
      </x:c>
      <x:c r="B135" s="25" t="n">
        <x:v>10000</x:v>
      </x:c>
      <x:c r="C135" s="25" t="n">
        <x:v>6939.81832766059</x:v>
      </x:c>
      <x:c r="D135" s="25" t="n">
        <x:v>2479.2420924837947</x:v>
      </x:c>
      <x:c r="E135" s="25" t="n">
        <x:v>634480022.5464479</x:v>
      </x:c>
      <x:c r="F135" s="25" t="n">
        <x:v>44413601.578251354</x:v>
      </x:c>
      <x:c r="G135" s="25" t="n">
        <x:v>12319075.59563813</x:v>
      </x:c>
      <x:c r="H135" s="25" t="n">
        <x:v>123962.10462418974</x:v>
      </x:c>
      <x:c r="I135" s="25" t="n">
        <x:v>50000</x:v>
      </x:c>
      <x:c r="J135" s="25" t="n">
        <x:v>31920563.877989035</x:v>
      </x:c>
      <x:c r="K135" s="30" t="n">
        <x:v>0.019416018090209132</x:v>
      </x:c>
      <x:c r="L135" s="25" t="n">
        <x:v>5030980.132341716</x:v>
      </x:c>
      <x:c r="M135" s="25" t="n">
        <x:v>0.45</x:v>
      </x:c>
      <x:c r="N135" s="25" t="n">
        <x:v>1</x:v>
      </x:c>
      <x:c r="O135" s="25" t="n">
        <x:v>0.8</x:v>
      </x:c>
      <x:c r="P135" s="30" t="n">
        <x:v>0.07</x:v>
      </x:c>
      <x:c r="Q135" s="25" t="n">
        <x:v>20257679.883799072</x:v>
      </x:c>
      <x:c r="R135" s="25" t="n">
        <x:v>11662883.994189963</x:v>
      </x:c>
    </x:row>
    <x:row r="136" ht="19" customHeight="1">
      <x:c r="A136" s="30" t="str">
        <x:v>B_balanced</x:v>
      </x:c>
      <x:c r="B136" s="25" t="n">
        <x:v>10000</x:v>
      </x:c>
      <x:c r="C136" s="25" t="n">
        <x:v>8148.372970277712</x:v>
      </x:c>
      <x:c r="D136" s="25" t="n">
        <x:v>1484.4884774643917</x:v>
      </x:c>
      <x:c r="E136" s="25" t="n">
        <x:v>779209573.5686258</x:v>
      </x:c>
      <x:c r="F136" s="25" t="n">
        <x:v>54544670.14980381</x:v>
      </x:c>
      <x:c r="G136" s="25" t="n">
        <x:v>18206039.846510723</x:v>
      </x:c>
      <x:c r="H136" s="25" t="n">
        <x:v>74224.42387321958</x:v>
      </x:c>
      <x:c r="I136" s="25" t="n">
        <x:v>50000</x:v>
      </x:c>
      <x:c r="J136" s="25" t="n">
        <x:v>36214405.87941987</x:v>
      </x:c>
      <x:c r="K136" s="30" t="n">
        <x:v>0.023364753801895247</x:v>
      </x:c>
      <x:c r="L136" s="25" t="n">
        <x:v>4647582.256152866</x:v>
      </x:c>
      <x:c r="M136" s="25" t="n">
        <x:v>0.45</x:v>
      </x:c>
      <x:c r="N136" s="25" t="n">
        <x:v>1</x:v>
      </x:c>
      <x:c r="O136" s="25" t="n">
        <x:v>0.8</x:v>
      </x:c>
      <x:c r="P136" s="30" t="n">
        <x:v>0.07</x:v>
      </x:c>
      <x:c r="Q136" s="25" t="n">
        <x:v>20257679.883799072</x:v>
      </x:c>
      <x:c r="R136" s="25" t="n">
        <x:v>15956725.995620798</x:v>
      </x:c>
    </x:row>
    <x:row r="137" ht="19" customHeight="1">
      <x:c r="A137" s="30" t="str">
        <x:v>surrogate_rules</x:v>
      </x:c>
      <x:c r="B137" s="25" t="n">
        <x:v>10000</x:v>
      </x:c>
      <x:c r="C137" s="25" t="n">
        <x:v>6359.724239599367</x:v>
      </x:c>
      <x:c r="D137" s="25" t="n">
        <x:v>6486.439612374531</x:v>
      </x:c>
      <x:c r="E137" s="25" t="n">
        <x:v>480297873.26294786</x:v>
      </x:c>
      <x:c r="F137" s="25" t="n">
        <x:v>48029787.326294795</x:v>
      </x:c>
      <x:c r="G137" s="25" t="n">
        <x:v>13038849.263988554</x:v>
      </x:c>
      <x:c r="H137" s="25" t="n">
        <x:v>324321.9806187265</x:v>
      </x:c>
      <x:c r="I137" s="25" t="n">
        <x:v>0</x:v>
      </x:c>
      <x:c r="J137" s="25" t="n">
        <x:v>34666616.08168751</x:v>
      </x:c>
      <x:c r="K137" s="30" t="n">
        <x:v>0.027147422443093348</x:v>
      </x:c>
      <x:c r="L137" s="25" t="n">
        <x:v>7217732.5804456845</x:v>
      </x:c>
      <x:c r="M137" s="25" t="n">
        <x:v>0.45</x:v>
      </x:c>
      <x:c r="N137" s="25" t="n">
        <x:v>1</x:v>
      </x:c>
      <x:c r="O137" s="25" t="n">
        <x:v>0.8</x:v>
      </x:c>
      <x:c r="P137" s="30" t="n">
        <x:v>0.10000000000000002</x:v>
      </x:c>
      <x:c r="Q137" s="25" t="n">
        <x:v>34666616.08168751</x:v>
      </x:c>
      <x:c r="R137" s="25" t="n">
        <x:v>0</x:v>
      </x:c>
    </x:row>
    <x:row r="138" ht="19" customHeight="1">
      <x:c r="A138" s="30" t="str">
        <x:v>A_conservative</x:v>
      </x:c>
      <x:c r="B138" s="25" t="n">
        <x:v>10000</x:v>
      </x:c>
      <x:c r="C138" s="25" t="n">
        <x:v>6939.81832766059</x:v>
      </x:c>
      <x:c r="D138" s="25" t="n">
        <x:v>2479.2420924837947</x:v>
      </x:c>
      <x:c r="E138" s="25" t="n">
        <x:v>634480022.5464479</x:v>
      </x:c>
      <x:c r="F138" s="25" t="n">
        <x:v>63448002.254644796</x:v>
      </x:c>
      <x:c r="G138" s="25" t="n">
        <x:v>12319075.59563813</x:v>
      </x:c>
      <x:c r="H138" s="25" t="n">
        <x:v>123962.10462418974</x:v>
      </x:c>
      <x:c r="I138" s="25" t="n">
        <x:v>50000</x:v>
      </x:c>
      <x:c r="J138" s="25" t="n">
        <x:v>50954964.55438248</x:v>
      </x:c>
      <x:c r="K138" s="30" t="n">
        <x:v>0.019416018090209132</x:v>
      </x:c>
      <x:c r="L138" s="25" t="n">
        <x:v>8030980.132341718</x:v>
      </x:c>
      <x:c r="M138" s="25" t="n">
        <x:v>0.45</x:v>
      </x:c>
      <x:c r="N138" s="25" t="n">
        <x:v>1</x:v>
      </x:c>
      <x:c r="O138" s="25" t="n">
        <x:v>0.8</x:v>
      </x:c>
      <x:c r="P138" s="30" t="n">
        <x:v>0.10000000000000002</x:v>
      </x:c>
      <x:c r="Q138" s="25" t="n">
        <x:v>34666616.08168751</x:v>
      </x:c>
      <x:c r="R138" s="25" t="n">
        <x:v>16288348.47269497</x:v>
      </x:c>
    </x:row>
    <x:row r="139" ht="19" customHeight="1">
      <x:c r="A139" s="30" t="str">
        <x:v>B_balanced</x:v>
      </x:c>
      <x:c r="B139" s="25" t="n">
        <x:v>10000</x:v>
      </x:c>
      <x:c r="C139" s="25" t="n">
        <x:v>8148.372970277712</x:v>
      </x:c>
      <x:c r="D139" s="25" t="n">
        <x:v>1484.4884774643917</x:v>
      </x:c>
      <x:c r="E139" s="25" t="n">
        <x:v>779209573.5686258</x:v>
      </x:c>
      <x:c r="F139" s="25" t="n">
        <x:v>77920957.35686259</x:v>
      </x:c>
      <x:c r="G139" s="25" t="n">
        <x:v>18206039.846510723</x:v>
      </x:c>
      <x:c r="H139" s="25" t="n">
        <x:v>74224.42387321958</x:v>
      </x:c>
      <x:c r="I139" s="25" t="n">
        <x:v>50000</x:v>
      </x:c>
      <x:c r="J139" s="25" t="n">
        <x:v>59590693.08647865</x:v>
      </x:c>
      <x:c r="K139" s="30" t="n">
        <x:v>0.023364753801895247</x:v>
      </x:c>
      <x:c r="L139" s="25" t="n">
        <x:v>7647582.256152867</x:v>
      </x:c>
      <x:c r="M139" s="25" t="n">
        <x:v>0.45</x:v>
      </x:c>
      <x:c r="N139" s="25" t="n">
        <x:v>1</x:v>
      </x:c>
      <x:c r="O139" s="25" t="n">
        <x:v>0.8</x:v>
      </x:c>
      <x:c r="P139" s="30" t="n">
        <x:v>0.10000000000000002</x:v>
      </x:c>
      <x:c r="Q139" s="25" t="n">
        <x:v>34666616.08168751</x:v>
      </x:c>
      <x:c r="R139" s="25" t="n">
        <x:v>24924077.00479114</x:v>
      </x:c>
    </x:row>
    <x:row r="140" ht="19" customHeight="1">
      <x:c r="A140" s="30" t="str">
        <x:v>surrogate_rules</x:v>
      </x:c>
      <x:c r="B140" s="25" t="n">
        <x:v>10000</x:v>
      </x:c>
      <x:c r="C140" s="25" t="n">
        <x:v>3765.1483946495546</x:v>
      </x:c>
      <x:c r="D140" s="25" t="n">
        <x:v>6486.439612374531</x:v>
      </x:c>
      <x:c r="E140" s="25" t="n">
        <x:v>298677564.11646104</x:v>
      </x:c>
      <x:c r="F140" s="25" t="n">
        <x:v>11947102.56465844</x:v>
      </x:c>
      <x:c r="G140" s="25" t="n">
        <x:v>11377848.114986885</x:v>
      </x:c>
      <x:c r="H140" s="25" t="n">
        <x:v>324321.9806187265</x:v>
      </x:c>
      <x:c r="I140" s="25" t="n">
        <x:v>0</x:v>
      </x:c>
      <x:c r="J140" s="25" t="n">
        <x:v>244932.4690528288</x:v>
      </x:c>
      <x:c r="K140" s="30" t="n">
        <x:v>0.038094083660567185</x:v>
      </x:c>
      <x:c r="L140" s="25" t="n">
        <x:v>82005.64705199088</x:v>
      </x:c>
      <x:c r="M140" s="25" t="n">
        <x:v>0.45</x:v>
      </x:c>
      <x:c r="N140" s="25" t="n">
        <x:v>1.5</x:v>
      </x:c>
      <x:c r="O140" s="25" t="n">
        <x:v>0.4</x:v>
      </x:c>
      <x:c r="P140" s="30" t="n">
        <x:v>0.039999999999999994</x:v>
      </x:c>
      <x:c r="Q140" s="25" t="n">
        <x:v>244932.4690528288</x:v>
      </x:c>
      <x:c r="R140" s="25" t="n">
        <x:v>0</x:v>
      </x:c>
    </x:row>
    <x:row r="141" ht="19" customHeight="1">
      <x:c r="A141" s="30" t="str">
        <x:v>A_conservative</x:v>
      </x:c>
      <x:c r="B141" s="25" t="n">
        <x:v>10000</x:v>
      </x:c>
      <x:c r="C141" s="25" t="n">
        <x:v>5948.121490667072</x:v>
      </x:c>
      <x:c r="D141" s="25" t="n">
        <x:v>2479.2420924837947</x:v>
      </x:c>
      <x:c r="E141" s="25" t="n">
        <x:v>565061243.9569017</x:v>
      </x:c>
      <x:c r="F141" s="25" t="n">
        <x:v>22602449.758276064</x:v>
      </x:c>
      <x:c r="G141" s="25" t="n">
        <x:v>14807357.946538907</x:v>
      </x:c>
      <x:c r="H141" s="25" t="n">
        <x:v>123962.10462418974</x:v>
      </x:c>
      <x:c r="I141" s="25" t="n">
        <x:v>50000</x:v>
      </x:c>
      <x:c r="J141" s="25" t="n">
        <x:v>7621129.707112968</x:v>
      </x:c>
      <x:c r="K141" s="30" t="n">
        <x:v>0.026204872666277378</x:v>
      </x:c>
      <x:c r="L141" s="25" t="n">
        <x:v>1348726.3174775876</x:v>
      </x:c>
      <x:c r="M141" s="25" t="n">
        <x:v>0.45</x:v>
      </x:c>
      <x:c r="N141" s="25" t="n">
        <x:v>1.5</x:v>
      </x:c>
      <x:c r="O141" s="25" t="n">
        <x:v>0.4</x:v>
      </x:c>
      <x:c r="P141" s="30" t="n">
        <x:v>0.039999999999999994</x:v>
      </x:c>
      <x:c r="Q141" s="25" t="n">
        <x:v>244932.4690528288</x:v>
      </x:c>
      <x:c r="R141" s="25" t="n">
        <x:v>7376197.238060139</x:v>
      </x:c>
    </x:row>
    <x:row r="142" ht="19" customHeight="1">
      <x:c r="A142" s="30" t="str">
        <x:v>B_balanced</x:v>
      </x:c>
      <x:c r="B142" s="25" t="n">
        <x:v>10000</x:v>
      </x:c>
      <x:c r="C142" s="25" t="n">
        <x:v>7554.577579291957</x:v>
      </x:c>
      <x:c r="D142" s="25" t="n">
        <x:v>1484.4884774643917</x:v>
      </x:c>
      <x:c r="E142" s="25" t="n">
        <x:v>737643896.1996229</x:v>
      </x:c>
      <x:c r="F142" s="25" t="n">
        <x:v>29505755.84798491</x:v>
      </x:c>
      <x:c r="G142" s="25" t="n">
        <x:v>24154074.620070674</x:v>
      </x:c>
      <x:c r="H142" s="25" t="n">
        <x:v>74224.42387321958</x:v>
      </x:c>
      <x:c r="I142" s="25" t="n">
        <x:v>50000</x:v>
      </x:c>
      <x:c r="J142" s="25" t="n">
        <x:v>5227456.804041017</x:v>
      </x:c>
      <x:c r="K142" s="30" t="n">
        <x:v>0.032744898648946516</x:v>
      </x:c>
      <x:c r="L142" s="25" t="n">
        <x:v>708669.4312761385</x:v>
      </x:c>
      <x:c r="M142" s="25" t="n">
        <x:v>0.45</x:v>
      </x:c>
      <x:c r="N142" s="25" t="n">
        <x:v>1.5</x:v>
      </x:c>
      <x:c r="O142" s="25" t="n">
        <x:v>0.4</x:v>
      </x:c>
      <x:c r="P142" s="30" t="n">
        <x:v>0.039999999999999994</x:v>
      </x:c>
      <x:c r="Q142" s="25" t="n">
        <x:v>244932.4690528288</x:v>
      </x:c>
      <x:c r="R142" s="25" t="n">
        <x:v>4982524.334988188</x:v>
      </x:c>
    </x:row>
    <x:row r="143" ht="19" customHeight="1">
      <x:c r="A143" s="30" t="str">
        <x:v>surrogate_rules</x:v>
      </x:c>
      <x:c r="B143" s="25" t="n">
        <x:v>10000</x:v>
      </x:c>
      <x:c r="C143" s="25" t="n">
        <x:v>3765.1483946495546</x:v>
      </x:c>
      <x:c r="D143" s="25" t="n">
        <x:v>6486.439612374531</x:v>
      </x:c>
      <x:c r="E143" s="25" t="n">
        <x:v>298677564.11646104</x:v>
      </x:c>
      <x:c r="F143" s="25" t="n">
        <x:v>20907429.488152273</x:v>
      </x:c>
      <x:c r="G143" s="25" t="n">
        <x:v>11377848.114986885</x:v>
      </x:c>
      <x:c r="H143" s="25" t="n">
        <x:v>324321.9806187265</x:v>
      </x:c>
      <x:c r="I143" s="25" t="n">
        <x:v>0</x:v>
      </x:c>
      <x:c r="J143" s="25" t="n">
        <x:v>9205259.392546661</x:v>
      </x:c>
      <x:c r="K143" s="30" t="n">
        <x:v>0.038094083660567185</x:v>
      </x:c>
      <x:c r="L143" s="25" t="n">
        <x:v>3082005.6470519914</x:v>
      </x:c>
      <x:c r="M143" s="25" t="n">
        <x:v>0.45</x:v>
      </x:c>
      <x:c r="N143" s="25" t="n">
        <x:v>1.5</x:v>
      </x:c>
      <x:c r="O143" s="25" t="n">
        <x:v>0.4</x:v>
      </x:c>
      <x:c r="P143" s="30" t="n">
        <x:v>0.07</x:v>
      </x:c>
      <x:c r="Q143" s="25" t="n">
        <x:v>9205259.392546661</x:v>
      </x:c>
      <x:c r="R143" s="25" t="n">
        <x:v>0</x:v>
      </x:c>
    </x:row>
    <x:row r="144" ht="19" customHeight="1">
      <x:c r="A144" s="30" t="str">
        <x:v>A_conservative</x:v>
      </x:c>
      <x:c r="B144" s="25" t="n">
        <x:v>10000</x:v>
      </x:c>
      <x:c r="C144" s="25" t="n">
        <x:v>5948.121490667072</x:v>
      </x:c>
      <x:c r="D144" s="25" t="n">
        <x:v>2479.2420924837947</x:v>
      </x:c>
      <x:c r="E144" s="25" t="n">
        <x:v>565061243.9569017</x:v>
      </x:c>
      <x:c r="F144" s="25" t="n">
        <x:v>39554287.076983124</x:v>
      </x:c>
      <x:c r="G144" s="25" t="n">
        <x:v>14807357.946538907</x:v>
      </x:c>
      <x:c r="H144" s="25" t="n">
        <x:v>123962.10462418974</x:v>
      </x:c>
      <x:c r="I144" s="25" t="n">
        <x:v>50000</x:v>
      </x:c>
      <x:c r="J144" s="25" t="n">
        <x:v>24572967.025820028</x:v>
      </x:c>
      <x:c r="K144" s="30" t="n">
        <x:v>0.026204872666277378</x:v>
      </x:c>
      <x:c r="L144" s="25" t="n">
        <x:v>4348726.3174775895</x:v>
      </x:c>
      <x:c r="M144" s="25" t="n">
        <x:v>0.45</x:v>
      </x:c>
      <x:c r="N144" s="25" t="n">
        <x:v>1.5</x:v>
      </x:c>
      <x:c r="O144" s="25" t="n">
        <x:v>0.4</x:v>
      </x:c>
      <x:c r="P144" s="30" t="n">
        <x:v>0.07</x:v>
      </x:c>
      <x:c r="Q144" s="25" t="n">
        <x:v>9205259.392546661</x:v>
      </x:c>
      <x:c r="R144" s="25" t="n">
        <x:v>15367707.633273367</x:v>
      </x:c>
    </x:row>
    <x:row r="145" ht="19" customHeight="1">
      <x:c r="A145" s="30" t="str">
        <x:v>B_balanced</x:v>
      </x:c>
      <x:c r="B145" s="25" t="n">
        <x:v>10000</x:v>
      </x:c>
      <x:c r="C145" s="25" t="n">
        <x:v>7554.577579291957</x:v>
      </x:c>
      <x:c r="D145" s="25" t="n">
        <x:v>1484.4884774643917</x:v>
      </x:c>
      <x:c r="E145" s="25" t="n">
        <x:v>737643896.1996229</x:v>
      </x:c>
      <x:c r="F145" s="25" t="n">
        <x:v>51635072.73397361</x:v>
      </x:c>
      <x:c r="G145" s="25" t="n">
        <x:v>24154074.620070674</x:v>
      </x:c>
      <x:c r="H145" s="25" t="n">
        <x:v>74224.42387321958</x:v>
      </x:c>
      <x:c r="I145" s="25" t="n">
        <x:v>50000</x:v>
      </x:c>
      <x:c r="J145" s="25" t="n">
        <x:v>27356773.690029714</x:v>
      </x:c>
      <x:c r="K145" s="30" t="n">
        <x:v>0.032744898648946516</x:v>
      </x:c>
      <x:c r="L145" s="25" t="n">
        <x:v>3708669.4312761403</x:v>
      </x:c>
      <x:c r="M145" s="25" t="n">
        <x:v>0.45</x:v>
      </x:c>
      <x:c r="N145" s="25" t="n">
        <x:v>1.5</x:v>
      </x:c>
      <x:c r="O145" s="25" t="n">
        <x:v>0.4</x:v>
      </x:c>
      <x:c r="P145" s="30" t="n">
        <x:v>0.07</x:v>
      </x:c>
      <x:c r="Q145" s="25" t="n">
        <x:v>9205259.392546661</x:v>
      </x:c>
      <x:c r="R145" s="25" t="n">
        <x:v>18151514.297483053</x:v>
      </x:c>
    </x:row>
    <x:row r="146" ht="19" customHeight="1">
      <x:c r="A146" s="30" t="str">
        <x:v>surrogate_rules</x:v>
      </x:c>
      <x:c r="B146" s="25" t="n">
        <x:v>10000</x:v>
      </x:c>
      <x:c r="C146" s="25" t="n">
        <x:v>3765.1483946495546</x:v>
      </x:c>
      <x:c r="D146" s="25" t="n">
        <x:v>6486.439612374531</x:v>
      </x:c>
      <x:c r="E146" s="25" t="n">
        <x:v>298677564.11646104</x:v>
      </x:c>
      <x:c r="F146" s="25" t="n">
        <x:v>29867756.41164611</x:v>
      </x:c>
      <x:c r="G146" s="25" t="n">
        <x:v>11377848.114986885</x:v>
      </x:c>
      <x:c r="H146" s="25" t="n">
        <x:v>324321.9806187265</x:v>
      </x:c>
      <x:c r="I146" s="25" t="n">
        <x:v>0</x:v>
      </x:c>
      <x:c r="J146" s="25" t="n">
        <x:v>18165586.316040497</x:v>
      </x:c>
      <x:c r="K146" s="30" t="n">
        <x:v>0.038094083660567185</x:v>
      </x:c>
      <x:c r="L146" s="25" t="n">
        <x:v>6082005.647051993</x:v>
      </x:c>
      <x:c r="M146" s="25" t="n">
        <x:v>0.45</x:v>
      </x:c>
      <x:c r="N146" s="25" t="n">
        <x:v>1.5</x:v>
      </x:c>
      <x:c r="O146" s="25" t="n">
        <x:v>0.4</x:v>
      </x:c>
      <x:c r="P146" s="30" t="n">
        <x:v>0.10000000000000002</x:v>
      </x:c>
      <x:c r="Q146" s="25" t="n">
        <x:v>18165586.316040497</x:v>
      </x:c>
      <x:c r="R146" s="25" t="n">
        <x:v>0</x:v>
      </x:c>
    </x:row>
    <x:row r="147" ht="19" customHeight="1">
      <x:c r="A147" s="30" t="str">
        <x:v>A_conservative</x:v>
      </x:c>
      <x:c r="B147" s="25" t="n">
        <x:v>10000</x:v>
      </x:c>
      <x:c r="C147" s="25" t="n">
        <x:v>5948.121490667072</x:v>
      </x:c>
      <x:c r="D147" s="25" t="n">
        <x:v>2479.2420924837947</x:v>
      </x:c>
      <x:c r="E147" s="25" t="n">
        <x:v>565061243.9569017</x:v>
      </x:c>
      <x:c r="F147" s="25" t="n">
        <x:v>56506124.39569018</x:v>
      </x:c>
      <x:c r="G147" s="25" t="n">
        <x:v>14807357.946538907</x:v>
      </x:c>
      <x:c r="H147" s="25" t="n">
        <x:v>123962.10462418974</x:v>
      </x:c>
      <x:c r="I147" s="25" t="n">
        <x:v>50000</x:v>
      </x:c>
      <x:c r="J147" s="25" t="n">
        <x:v>41524804.34452709</x:v>
      </x:c>
      <x:c r="K147" s="30" t="n">
        <x:v>0.026204872666277378</x:v>
      </x:c>
      <x:c r="L147" s="25" t="n">
        <x:v>7348726.317477591</x:v>
      </x:c>
      <x:c r="M147" s="25" t="n">
        <x:v>0.45</x:v>
      </x:c>
      <x:c r="N147" s="25" t="n">
        <x:v>1.5</x:v>
      </x:c>
      <x:c r="O147" s="25" t="n">
        <x:v>0.4</x:v>
      </x:c>
      <x:c r="P147" s="30" t="n">
        <x:v>0.10000000000000002</x:v>
      </x:c>
      <x:c r="Q147" s="25" t="n">
        <x:v>18165586.316040497</x:v>
      </x:c>
      <x:c r="R147" s="25" t="n">
        <x:v>23359218.02848659</x:v>
      </x:c>
    </x:row>
    <x:row r="148" ht="19" customHeight="1">
      <x:c r="A148" s="30" t="str">
        <x:v>B_balanced</x:v>
      </x:c>
      <x:c r="B148" s="25" t="n">
        <x:v>10000</x:v>
      </x:c>
      <x:c r="C148" s="25" t="n">
        <x:v>7554.577579291957</x:v>
      </x:c>
      <x:c r="D148" s="25" t="n">
        <x:v>1484.4884774643917</x:v>
      </x:c>
      <x:c r="E148" s="25" t="n">
        <x:v>737643896.1996229</x:v>
      </x:c>
      <x:c r="F148" s="25" t="n">
        <x:v>73764389.6199623</x:v>
      </x:c>
      <x:c r="G148" s="25" t="n">
        <x:v>24154074.620070674</x:v>
      </x:c>
      <x:c r="H148" s="25" t="n">
        <x:v>74224.42387321958</x:v>
      </x:c>
      <x:c r="I148" s="25" t="n">
        <x:v>50000</x:v>
      </x:c>
      <x:c r="J148" s="25" t="n">
        <x:v>49486090.576018415</x:v>
      </x:c>
      <x:c r="K148" s="30" t="n">
        <x:v>0.032744898648946516</x:v>
      </x:c>
      <x:c r="L148" s="25" t="n">
        <x:v>6708669.431276142</x:v>
      </x:c>
      <x:c r="M148" s="25" t="n">
        <x:v>0.45</x:v>
      </x:c>
      <x:c r="N148" s="25" t="n">
        <x:v>1.5</x:v>
      </x:c>
      <x:c r="O148" s="25" t="n">
        <x:v>0.4</x:v>
      </x:c>
      <x:c r="P148" s="30" t="n">
        <x:v>0.10000000000000002</x:v>
      </x:c>
      <x:c r="Q148" s="25" t="n">
        <x:v>18165586.316040497</x:v>
      </x:c>
      <x:c r="R148" s="25" t="n">
        <x:v>31320504.259977918</x:v>
      </x:c>
    </x:row>
    <x:row r="149" ht="19" customHeight="1">
      <x:c r="A149" s="30" t="str">
        <x:v>surrogate_rules</x:v>
      </x:c>
      <x:c r="B149" s="25" t="n">
        <x:v>10000</x:v>
      </x:c>
      <x:c r="C149" s="25" t="n">
        <x:v>5062.43631712446</x:v>
      </x:c>
      <x:c r="D149" s="25" t="n">
        <x:v>6486.439612374531</x:v>
      </x:c>
      <x:c r="E149" s="25" t="n">
        <x:v>389487718.6897046</x:v>
      </x:c>
      <x:c r="F149" s="25" t="n">
        <x:v>15579508.747588182</x:v>
      </x:c>
      <x:c r="G149" s="25" t="n">
        <x:v>15468061.005484857</x:v>
      </x:c>
      <x:c r="H149" s="25" t="n">
        <x:v>324321.9806187265</x:v>
      </x:c>
      <x:c r="I149" s="25" t="n">
        <x:v>0</x:v>
      </x:c>
      <x:c r="J149" s="25" t="n">
        <x:v>-212874.23851540132</x:v>
      </x:c>
      <x:c r="K149" s="30" t="n">
        <x:v>0.039713860702775806</x:v>
      </x:c>
      <x:c r="L149" s="25" t="n">
        <x:v>-54654.92961666221</x:v>
      </x:c>
      <x:c r="M149" s="25" t="n">
        <x:v>0.45</x:v>
      </x:c>
      <x:c r="N149" s="25" t="n">
        <x:v>1.5</x:v>
      </x:c>
      <x:c r="O149" s="25" t="n">
        <x:v>0.6</x:v>
      </x:c>
      <x:c r="P149" s="30" t="n">
        <x:v>0.039999999999999994</x:v>
      </x:c>
      <x:c r="Q149" s="25" t="n">
        <x:v>-212874.23851540132</x:v>
      </x:c>
      <x:c r="R149" s="25" t="n">
        <x:v>0</x:v>
      </x:c>
    </x:row>
    <x:row r="150" ht="19" customHeight="1">
      <x:c r="A150" s="30" t="str">
        <x:v>A_conservative</x:v>
      </x:c>
      <x:c r="B150" s="25" t="n">
        <x:v>10000</x:v>
      </x:c>
      <x:c r="C150" s="25" t="n">
        <x:v>6443.96990916383</x:v>
      </x:c>
      <x:c r="D150" s="25" t="n">
        <x:v>2479.2420924837947</x:v>
      </x:c>
      <x:c r="E150" s="25" t="n">
        <x:v>599770633.2516748</x:v>
      </x:c>
      <x:c r="F150" s="25" t="n">
        <x:v>23990825.330066986</x:v>
      </x:c>
      <x:c r="G150" s="25" t="n">
        <x:v>16642985.66999805</x:v>
      </x:c>
      <x:c r="H150" s="25" t="n">
        <x:v>123962.10462418974</x:v>
      </x:c>
      <x:c r="I150" s="25" t="n">
        <x:v>50000</x:v>
      </x:c>
      <x:c r="J150" s="25" t="n">
        <x:v>7173877.555444747</x:v>
      </x:c>
      <x:c r="K150" s="30" t="n">
        <x:v>0.02774891724819469</x:v>
      </x:c>
      <x:c r="L150" s="25" t="n">
        <x:v>1196103.5031927708</x:v>
      </x:c>
      <x:c r="M150" s="25" t="n">
        <x:v>0.45</x:v>
      </x:c>
      <x:c r="N150" s="25" t="n">
        <x:v>1.5</x:v>
      </x:c>
      <x:c r="O150" s="25" t="n">
        <x:v>0.6</x:v>
      </x:c>
      <x:c r="P150" s="30" t="n">
        <x:v>0.039999999999999994</x:v>
      </x:c>
      <x:c r="Q150" s="25" t="n">
        <x:v>-212874.23851540132</x:v>
      </x:c>
      <x:c r="R150" s="25" t="n">
        <x:v>7386751.7939601485</x:v>
      </x:c>
    </x:row>
    <x:row r="151" ht="19" customHeight="1">
      <x:c r="A151" s="30" t="str">
        <x:v>B_balanced</x:v>
      </x:c>
      <x:c r="B151" s="25" t="n">
        <x:v>10000</x:v>
      </x:c>
      <x:c r="C151" s="25" t="n">
        <x:v>7851.4752747848315</x:v>
      </x:c>
      <x:c r="D151" s="25" t="n">
        <x:v>1484.4884774643917</x:v>
      </x:c>
      <x:c r="E151" s="25" t="n">
        <x:v>758426734.8841242</x:v>
      </x:c>
      <x:c r="F151" s="25" t="n">
        <x:v>30337069.395364963</x:v>
      </x:c>
      <x:c r="G151" s="25" t="n">
        <x:v>25731567.19491838</x:v>
      </x:c>
      <x:c r="H151" s="25" t="n">
        <x:v>74224.42387321958</x:v>
      </x:c>
      <x:c r="I151" s="25" t="n">
        <x:v>50000</x:v>
      </x:c>
      <x:c r="J151" s="25" t="n">
        <x:v>4481277.776573364</x:v>
      </x:c>
      <x:c r="K151" s="30" t="n">
        <x:v>0.03392755820883577</x:v>
      </x:c>
      <x:c r="L151" s="25" t="n">
        <x:v>590864.9537859493</x:v>
      </x:c>
      <x:c r="M151" s="25" t="n">
        <x:v>0.45</x:v>
      </x:c>
      <x:c r="N151" s="25" t="n">
        <x:v>1.5</x:v>
      </x:c>
      <x:c r="O151" s="25" t="n">
        <x:v>0.6</x:v>
      </x:c>
      <x:c r="P151" s="30" t="n">
        <x:v>0.039999999999999994</x:v>
      </x:c>
      <x:c r="Q151" s="25" t="n">
        <x:v>-212874.23851540132</x:v>
      </x:c>
      <x:c r="R151" s="25" t="n">
        <x:v>4694152.015088765</x:v>
      </x:c>
    </x:row>
    <x:row r="152" ht="19" customHeight="1">
      <x:c r="A152" s="30" t="str">
        <x:v>surrogate_rules</x:v>
      </x:c>
      <x:c r="B152" s="25" t="n">
        <x:v>10000</x:v>
      </x:c>
      <x:c r="C152" s="25" t="n">
        <x:v>5062.43631712446</x:v>
      </x:c>
      <x:c r="D152" s="25" t="n">
        <x:v>6486.439612374531</x:v>
      </x:c>
      <x:c r="E152" s="25" t="n">
        <x:v>389487718.6897046</x:v>
      </x:c>
      <x:c r="F152" s="25" t="n">
        <x:v>27264140.308279324</x:v>
      </x:c>
      <x:c r="G152" s="25" t="n">
        <x:v>15468061.005484857</x:v>
      </x:c>
      <x:c r="H152" s="25" t="n">
        <x:v>324321.9806187265</x:v>
      </x:c>
      <x:c r="I152" s="25" t="n">
        <x:v>0</x:v>
      </x:c>
      <x:c r="J152" s="25" t="n">
        <x:v>11471757.322175741</x:v>
      </x:c>
      <x:c r="K152" s="30" t="n">
        <x:v>0.039713860702775806</x:v>
      </x:c>
      <x:c r="L152" s="25" t="n">
        <x:v>2945345.070383339</x:v>
      </x:c>
      <x:c r="M152" s="25" t="n">
        <x:v>0.45</x:v>
      </x:c>
      <x:c r="N152" s="25" t="n">
        <x:v>1.5</x:v>
      </x:c>
      <x:c r="O152" s="25" t="n">
        <x:v>0.6</x:v>
      </x:c>
      <x:c r="P152" s="30" t="n">
        <x:v>0.07</x:v>
      </x:c>
      <x:c r="Q152" s="25" t="n">
        <x:v>11471757.322175741</x:v>
      </x:c>
      <x:c r="R152" s="25" t="n">
        <x:v>0</x:v>
      </x:c>
    </x:row>
    <x:row r="153" ht="19" customHeight="1">
      <x:c r="A153" s="30" t="str">
        <x:v>A_conservative</x:v>
      </x:c>
      <x:c r="B153" s="25" t="n">
        <x:v>10000</x:v>
      </x:c>
      <x:c r="C153" s="25" t="n">
        <x:v>6443.96990916383</x:v>
      </x:c>
      <x:c r="D153" s="25" t="n">
        <x:v>2479.2420924837947</x:v>
      </x:c>
      <x:c r="E153" s="25" t="n">
        <x:v>599770633.2516748</x:v>
      </x:c>
      <x:c r="F153" s="25" t="n">
        <x:v>41983944.327617235</x:v>
      </x:c>
      <x:c r="G153" s="25" t="n">
        <x:v>16642985.66999805</x:v>
      </x:c>
      <x:c r="H153" s="25" t="n">
        <x:v>123962.10462418974</x:v>
      </x:c>
      <x:c r="I153" s="25" t="n">
        <x:v>50000</x:v>
      </x:c>
      <x:c r="J153" s="25" t="n">
        <x:v>25166996.552994996</x:v>
      </x:c>
      <x:c r="K153" s="30" t="n">
        <x:v>0.02774891724819469</x:v>
      </x:c>
      <x:c r="L153" s="25" t="n">
        <x:v>4196103.503192772</x:v>
      </x:c>
      <x:c r="M153" s="25" t="n">
        <x:v>0.45</x:v>
      </x:c>
      <x:c r="N153" s="25" t="n">
        <x:v>1.5</x:v>
      </x:c>
      <x:c r="O153" s="25" t="n">
        <x:v>0.6</x:v>
      </x:c>
      <x:c r="P153" s="30" t="n">
        <x:v>0.07</x:v>
      </x:c>
      <x:c r="Q153" s="25" t="n">
        <x:v>11471757.322175741</x:v>
      </x:c>
      <x:c r="R153" s="25" t="n">
        <x:v>13695239.230819255</x:v>
      </x:c>
    </x:row>
    <x:row r="154" ht="19" customHeight="1">
      <x:c r="A154" s="30" t="str">
        <x:v>B_balanced</x:v>
      </x:c>
      <x:c r="B154" s="25" t="n">
        <x:v>10000</x:v>
      </x:c>
      <x:c r="C154" s="25" t="n">
        <x:v>7851.4752747848315</x:v>
      </x:c>
      <x:c r="D154" s="25" t="n">
        <x:v>1484.4884774643917</x:v>
      </x:c>
      <x:c r="E154" s="25" t="n">
        <x:v>758426734.8841242</x:v>
      </x:c>
      <x:c r="F154" s="25" t="n">
        <x:v>53089871.4418887</x:v>
      </x:c>
      <x:c r="G154" s="25" t="n">
        <x:v>25731567.19491838</x:v>
      </x:c>
      <x:c r="H154" s="25" t="n">
        <x:v>74224.42387321958</x:v>
      </x:c>
      <x:c r="I154" s="25" t="n">
        <x:v>50000</x:v>
      </x:c>
      <x:c r="J154" s="25" t="n">
        <x:v>27234079.8230971</x:v>
      </x:c>
      <x:c r="K154" s="30" t="n">
        <x:v>0.03392755820883577</x:v>
      </x:c>
      <x:c r="L154" s="25" t="n">
        <x:v>3590864.953785951</x:v>
      </x:c>
      <x:c r="M154" s="25" t="n">
        <x:v>0.45</x:v>
      </x:c>
      <x:c r="N154" s="25" t="n">
        <x:v>1.5</x:v>
      </x:c>
      <x:c r="O154" s="25" t="n">
        <x:v>0.6</x:v>
      </x:c>
      <x:c r="P154" s="30" t="n">
        <x:v>0.07</x:v>
      </x:c>
      <x:c r="Q154" s="25" t="n">
        <x:v>11471757.322175741</x:v>
      </x:c>
      <x:c r="R154" s="25" t="n">
        <x:v>15762322.500921357</x:v>
      </x:c>
    </x:row>
    <x:row r="155" ht="19" customHeight="1">
      <x:c r="A155" s="30" t="str">
        <x:v>surrogate_rules</x:v>
      </x:c>
      <x:c r="B155" s="25" t="n">
        <x:v>10000</x:v>
      </x:c>
      <x:c r="C155" s="25" t="n">
        <x:v>5062.43631712446</x:v>
      </x:c>
      <x:c r="D155" s="25" t="n">
        <x:v>6486.439612374531</x:v>
      </x:c>
      <x:c r="E155" s="25" t="n">
        <x:v>389487718.6897046</x:v>
      </x:c>
      <x:c r="F155" s="25" t="n">
        <x:v>38948771.86897047</x:v>
      </x:c>
      <x:c r="G155" s="25" t="n">
        <x:v>15468061.005484857</x:v>
      </x:c>
      <x:c r="H155" s="25" t="n">
        <x:v>324321.9806187265</x:v>
      </x:c>
      <x:c r="I155" s="25" t="n">
        <x:v>0</x:v>
      </x:c>
      <x:c r="J155" s="25" t="n">
        <x:v>23156388.882866886</x:v>
      </x:c>
      <x:c r="K155" s="30" t="n">
        <x:v>0.039713860702775806</x:v>
      </x:c>
      <x:c r="L155" s="25" t="n">
        <x:v>5945345.070383341</x:v>
      </x:c>
      <x:c r="M155" s="25" t="n">
        <x:v>0.45</x:v>
      </x:c>
      <x:c r="N155" s="25" t="n">
        <x:v>1.5</x:v>
      </x:c>
      <x:c r="O155" s="25" t="n">
        <x:v>0.6</x:v>
      </x:c>
      <x:c r="P155" s="30" t="n">
        <x:v>0.10000000000000002</x:v>
      </x:c>
      <x:c r="Q155" s="25" t="n">
        <x:v>23156388.882866886</x:v>
      </x:c>
      <x:c r="R155" s="25" t="n">
        <x:v>0</x:v>
      </x:c>
    </x:row>
    <x:row r="156" ht="19" customHeight="1">
      <x:c r="A156" s="30" t="str">
        <x:v>A_conservative</x:v>
      </x:c>
      <x:c r="B156" s="25" t="n">
        <x:v>10000</x:v>
      </x:c>
      <x:c r="C156" s="25" t="n">
        <x:v>6443.96990916383</x:v>
      </x:c>
      <x:c r="D156" s="25" t="n">
        <x:v>2479.2420924837947</x:v>
      </x:c>
      <x:c r="E156" s="25" t="n">
        <x:v>599770633.2516748</x:v>
      </x:c>
      <x:c r="F156" s="25" t="n">
        <x:v>59977063.32516749</x:v>
      </x:c>
      <x:c r="G156" s="25" t="n">
        <x:v>16642985.66999805</x:v>
      </x:c>
      <x:c r="H156" s="25" t="n">
        <x:v>123962.10462418974</x:v>
      </x:c>
      <x:c r="I156" s="25" t="n">
        <x:v>50000</x:v>
      </x:c>
      <x:c r="J156" s="25" t="n">
        <x:v>43160115.55054525</x:v>
      </x:c>
      <x:c r="K156" s="30" t="n">
        <x:v>0.02774891724819469</x:v>
      </x:c>
      <x:c r="L156" s="25" t="n">
        <x:v>7196103.503192774</x:v>
      </x:c>
      <x:c r="M156" s="25" t="n">
        <x:v>0.45</x:v>
      </x:c>
      <x:c r="N156" s="25" t="n">
        <x:v>1.5</x:v>
      </x:c>
      <x:c r="O156" s="25" t="n">
        <x:v>0.6</x:v>
      </x:c>
      <x:c r="P156" s="30" t="n">
        <x:v>0.10000000000000002</x:v>
      </x:c>
      <x:c r="Q156" s="25" t="n">
        <x:v>23156388.882866886</x:v>
      </x:c>
      <x:c r="R156" s="25" t="n">
        <x:v>20003726.667678367</x:v>
      </x:c>
    </x:row>
    <x:row r="157" ht="19" customHeight="1">
      <x:c r="A157" s="30" t="str">
        <x:v>B_balanced</x:v>
      </x:c>
      <x:c r="B157" s="25" t="n">
        <x:v>10000</x:v>
      </x:c>
      <x:c r="C157" s="25" t="n">
        <x:v>7851.4752747848315</x:v>
      </x:c>
      <x:c r="D157" s="25" t="n">
        <x:v>1484.4884774643917</x:v>
      </x:c>
      <x:c r="E157" s="25" t="n">
        <x:v>758426734.8841242</x:v>
      </x:c>
      <x:c r="F157" s="25" t="n">
        <x:v>75842673.48841242</x:v>
      </x:c>
      <x:c r="G157" s="25" t="n">
        <x:v>25731567.19491838</x:v>
      </x:c>
      <x:c r="H157" s="25" t="n">
        <x:v>74224.42387321958</x:v>
      </x:c>
      <x:c r="I157" s="25" t="n">
        <x:v>50000</x:v>
      </x:c>
      <x:c r="J157" s="25" t="n">
        <x:v>49986881.86962083</x:v>
      </x:c>
      <x:c r="K157" s="30" t="n">
        <x:v>0.03392755820883577</x:v>
      </x:c>
      <x:c r="L157" s="25" t="n">
        <x:v>6590864.953785952</x:v>
      </x:c>
      <x:c r="M157" s="25" t="n">
        <x:v>0.45</x:v>
      </x:c>
      <x:c r="N157" s="25" t="n">
        <x:v>1.5</x:v>
      </x:c>
      <x:c r="O157" s="25" t="n">
        <x:v>0.6</x:v>
      </x:c>
      <x:c r="P157" s="30" t="n">
        <x:v>0.10000000000000002</x:v>
      </x:c>
      <x:c r="Q157" s="25" t="n">
        <x:v>23156388.882866886</x:v>
      </x:c>
      <x:c r="R157" s="25" t="n">
        <x:v>26830492.986753944</x:v>
      </x:c>
    </x:row>
    <x:row r="158" ht="19" customHeight="1">
      <x:c r="A158" s="30" t="str">
        <x:v>surrogate_rules</x:v>
      </x:c>
      <x:c r="B158" s="25" t="n">
        <x:v>10000</x:v>
      </x:c>
      <x:c r="C158" s="25" t="n">
        <x:v>6359.724239599367</x:v>
      </x:c>
      <x:c r="D158" s="25" t="n">
        <x:v>6486.439612374531</x:v>
      </x:c>
      <x:c r="E158" s="25" t="n">
        <x:v>480297873.26294786</x:v>
      </x:c>
      <x:c r="F158" s="25" t="n">
        <x:v>19211914.930517912</x:v>
      </x:c>
      <x:c r="G158" s="25" t="n">
        <x:v>19558273.89598283</x:v>
      </x:c>
      <x:c r="H158" s="25" t="n">
        <x:v>324321.9806187265</x:v>
      </x:c>
      <x:c r="I158" s="25" t="n">
        <x:v>0</x:v>
      </x:c>
      <x:c r="J158" s="25" t="n">
        <x:v>-670680.9460836463</x:v>
      </x:c>
      <x:c r="K158" s="30" t="n">
        <x:v>0.04072113366464002</x:v>
      </x:c>
      <x:c r="L158" s="25" t="n">
        <x:v>-139638.54170898435</x:v>
      </x:c>
      <x:c r="M158" s="25" t="n">
        <x:v>0.45</x:v>
      </x:c>
      <x:c r="N158" s="25" t="n">
        <x:v>1.5</x:v>
      </x:c>
      <x:c r="O158" s="25" t="n">
        <x:v>0.8</x:v>
      </x:c>
      <x:c r="P158" s="30" t="n">
        <x:v>0.039999999999999994</x:v>
      </x:c>
      <x:c r="Q158" s="25" t="n">
        <x:v>-670680.9460836463</x:v>
      </x:c>
      <x:c r="R158" s="25" t="n">
        <x:v>0</x:v>
      </x:c>
    </x:row>
    <x:row r="159" ht="19" customHeight="1">
      <x:c r="A159" s="30" t="str">
        <x:v>A_conservative</x:v>
      </x:c>
      <x:c r="B159" s="25" t="n">
        <x:v>10000</x:v>
      </x:c>
      <x:c r="C159" s="25" t="n">
        <x:v>6939.81832766059</x:v>
      </x:c>
      <x:c r="D159" s="25" t="n">
        <x:v>2479.2420924837947</x:v>
      </x:c>
      <x:c r="E159" s="25" t="n">
        <x:v>634480022.5464479</x:v>
      </x:c>
      <x:c r="F159" s="25" t="n">
        <x:v>25379200.901857913</x:v>
      </x:c>
      <x:c r="G159" s="25" t="n">
        <x:v>18478613.393457197</x:v>
      </x:c>
      <x:c r="H159" s="25" t="n">
        <x:v>123962.10462418974</x:v>
      </x:c>
      <x:c r="I159" s="25" t="n">
        <x:v>50000</x:v>
      </x:c>
      <x:c r="J159" s="25" t="n">
        <x:v>6726625.403776526</x:v>
      </x:c>
      <x:c r="K159" s="30" t="n">
        <x:v>0.0291240271353137</x:v>
      </x:c>
      <x:c r="L159" s="25" t="n">
        <x:v>1060179.2278312584</x:v>
      </x:c>
      <x:c r="M159" s="25" t="n">
        <x:v>0.45</x:v>
      </x:c>
      <x:c r="N159" s="25" t="n">
        <x:v>1.5</x:v>
      </x:c>
      <x:c r="O159" s="25" t="n">
        <x:v>0.8</x:v>
      </x:c>
      <x:c r="P159" s="30" t="n">
        <x:v>0.039999999999999994</x:v>
      </x:c>
      <x:c r="Q159" s="25" t="n">
        <x:v>-670680.9460836463</x:v>
      </x:c>
      <x:c r="R159" s="25" t="n">
        <x:v>7397306.349860173</x:v>
      </x:c>
    </x:row>
    <x:row r="160" ht="19" customHeight="1">
      <x:c r="A160" s="30" t="str">
        <x:v>B_balanced</x:v>
      </x:c>
      <x:c r="B160" s="25" t="n">
        <x:v>10000</x:v>
      </x:c>
      <x:c r="C160" s="25" t="n">
        <x:v>8148.372970277712</x:v>
      </x:c>
      <x:c r="D160" s="25" t="n">
        <x:v>1484.4884774643917</x:v>
      </x:c>
      <x:c r="E160" s="25" t="n">
        <x:v>779209573.5686258</x:v>
      </x:c>
      <x:c r="F160" s="25" t="n">
        <x:v>31168382.942745026</x:v>
      </x:c>
      <x:c r="G160" s="25" t="n">
        <x:v>27309059.769766085</x:v>
      </x:c>
      <x:c r="H160" s="25" t="n">
        <x:v>74224.42387321958</x:v>
      </x:c>
      <x:c r="I160" s="25" t="n">
        <x:v>50000</x:v>
      </x:c>
      <x:c r="J160" s="25" t="n">
        <x:v>3735098.7491057217</x:v>
      </x:c>
      <x:c r="K160" s="30" t="n">
        <x:v>0.03504713070284287</x:v>
      </x:c>
      <x:c r="L160" s="25" t="n">
        <x:v>479344.5660581027</x:v>
      </x:c>
      <x:c r="M160" s="25" t="n">
        <x:v>0.45</x:v>
      </x:c>
      <x:c r="N160" s="25" t="n">
        <x:v>1.5</x:v>
      </x:c>
      <x:c r="O160" s="25" t="n">
        <x:v>0.8</x:v>
      </x:c>
      <x:c r="P160" s="30" t="n">
        <x:v>0.039999999999999994</x:v>
      </x:c>
      <x:c r="Q160" s="25" t="n">
        <x:v>-670680.9460836463</x:v>
      </x:c>
      <x:c r="R160" s="25" t="n">
        <x:v>4405779.695189368</x:v>
      </x:c>
    </x:row>
    <x:row r="161" ht="19" customHeight="1">
      <x:c r="A161" s="30" t="str">
        <x:v>surrogate_rules</x:v>
      </x:c>
      <x:c r="B161" s="25" t="n">
        <x:v>10000</x:v>
      </x:c>
      <x:c r="C161" s="25" t="n">
        <x:v>6359.724239599367</x:v>
      </x:c>
      <x:c r="D161" s="25" t="n">
        <x:v>6486.439612374531</x:v>
      </x:c>
      <x:c r="E161" s="25" t="n">
        <x:v>480297873.26294786</x:v>
      </x:c>
      <x:c r="F161" s="25" t="n">
        <x:v>33620851.12840635</x:v>
      </x:c>
      <x:c r="G161" s="25" t="n">
        <x:v>19558273.89598283</x:v>
      </x:c>
      <x:c r="H161" s="25" t="n">
        <x:v>324321.9806187265</x:v>
      </x:c>
      <x:c r="I161" s="25" t="n">
        <x:v>0</x:v>
      </x:c>
      <x:c r="J161" s="25" t="n">
        <x:v>13738255.251804795</x:v>
      </x:c>
      <x:c r="K161" s="30" t="n">
        <x:v>0.04072113366464002</x:v>
      </x:c>
      <x:c r="L161" s="25" t="n">
        <x:v>2860361.4582910165</x:v>
      </x:c>
      <x:c r="M161" s="25" t="n">
        <x:v>0.45</x:v>
      </x:c>
      <x:c r="N161" s="25" t="n">
        <x:v>1.5</x:v>
      </x:c>
      <x:c r="O161" s="25" t="n">
        <x:v>0.8</x:v>
      </x:c>
      <x:c r="P161" s="30" t="n">
        <x:v>0.07</x:v>
      </x:c>
      <x:c r="Q161" s="25" t="n">
        <x:v>13738255.251804795</x:v>
      </x:c>
      <x:c r="R161" s="25" t="n">
        <x:v>0</x:v>
      </x:c>
    </x:row>
    <x:row r="162" ht="19" customHeight="1">
      <x:c r="A162" s="30" t="str">
        <x:v>A_conservative</x:v>
      </x:c>
      <x:c r="B162" s="25" t="n">
        <x:v>10000</x:v>
      </x:c>
      <x:c r="C162" s="25" t="n">
        <x:v>6939.81832766059</x:v>
      </x:c>
      <x:c r="D162" s="25" t="n">
        <x:v>2479.2420924837947</x:v>
      </x:c>
      <x:c r="E162" s="25" t="n">
        <x:v>634480022.5464479</x:v>
      </x:c>
      <x:c r="F162" s="25" t="n">
        <x:v>44413601.578251354</x:v>
      </x:c>
      <x:c r="G162" s="25" t="n">
        <x:v>18478613.393457197</x:v>
      </x:c>
      <x:c r="H162" s="25" t="n">
        <x:v>123962.10462418974</x:v>
      </x:c>
      <x:c r="I162" s="25" t="n">
        <x:v>50000</x:v>
      </x:c>
      <x:c r="J162" s="25" t="n">
        <x:v>25761026.08016997</x:v>
      </x:c>
      <x:c r="K162" s="30" t="n">
        <x:v>0.0291240271353137</x:v>
      </x:c>
      <x:c r="L162" s="25" t="n">
        <x:v>4060179.2278312594</x:v>
      </x:c>
      <x:c r="M162" s="25" t="n">
        <x:v>0.45</x:v>
      </x:c>
      <x:c r="N162" s="25" t="n">
        <x:v>1.5</x:v>
      </x:c>
      <x:c r="O162" s="25" t="n">
        <x:v>0.8</x:v>
      </x:c>
      <x:c r="P162" s="30" t="n">
        <x:v>0.07</x:v>
      </x:c>
      <x:c r="Q162" s="25" t="n">
        <x:v>13738255.251804795</x:v>
      </x:c>
      <x:c r="R162" s="25" t="n">
        <x:v>12022770.828365173</x:v>
      </x:c>
    </x:row>
    <x:row r="163" ht="19" customHeight="1">
      <x:c r="A163" s="30" t="str">
        <x:v>B_balanced</x:v>
      </x:c>
      <x:c r="B163" s="25" t="n">
        <x:v>10000</x:v>
      </x:c>
      <x:c r="C163" s="25" t="n">
        <x:v>8148.372970277712</x:v>
      </x:c>
      <x:c r="D163" s="25" t="n">
        <x:v>1484.4884774643917</x:v>
      </x:c>
      <x:c r="E163" s="25" t="n">
        <x:v>779209573.5686258</x:v>
      </x:c>
      <x:c r="F163" s="25" t="n">
        <x:v>54544670.14980381</x:v>
      </x:c>
      <x:c r="G163" s="25" t="n">
        <x:v>27309059.769766085</x:v>
      </x:c>
      <x:c r="H163" s="25" t="n">
        <x:v>74224.42387321958</x:v>
      </x:c>
      <x:c r="I163" s="25" t="n">
        <x:v>50000</x:v>
      </x:c>
      <x:c r="J163" s="25" t="n">
        <x:v>27111385.956164505</x:v>
      </x:c>
      <x:c r="K163" s="30" t="n">
        <x:v>0.03504713070284287</x:v>
      </x:c>
      <x:c r="L163" s="25" t="n">
        <x:v>3479344.566058104</x:v>
      </x:c>
      <x:c r="M163" s="25" t="n">
        <x:v>0.45</x:v>
      </x:c>
      <x:c r="N163" s="25" t="n">
        <x:v>1.5</x:v>
      </x:c>
      <x:c r="O163" s="25" t="n">
        <x:v>0.8</x:v>
      </x:c>
      <x:c r="P163" s="30" t="n">
        <x:v>0.07</x:v>
      </x:c>
      <x:c r="Q163" s="25" t="n">
        <x:v>13738255.251804795</x:v>
      </x:c>
      <x:c r="R163" s="25" t="n">
        <x:v>13373130.70435971</x:v>
      </x:c>
    </x:row>
    <x:row r="164" ht="19" customHeight="1">
      <x:c r="A164" s="30" t="str">
        <x:v>surrogate_rules</x:v>
      </x:c>
      <x:c r="B164" s="25" t="n">
        <x:v>10000</x:v>
      </x:c>
      <x:c r="C164" s="25" t="n">
        <x:v>6359.724239599367</x:v>
      </x:c>
      <x:c r="D164" s="25" t="n">
        <x:v>6486.439612374531</x:v>
      </x:c>
      <x:c r="E164" s="25" t="n">
        <x:v>480297873.26294786</x:v>
      </x:c>
      <x:c r="F164" s="25" t="n">
        <x:v>48029787.326294795</x:v>
      </x:c>
      <x:c r="G164" s="25" t="n">
        <x:v>19558273.89598283</x:v>
      </x:c>
      <x:c r="H164" s="25" t="n">
        <x:v>324321.9806187265</x:v>
      </x:c>
      <x:c r="I164" s="25" t="n">
        <x:v>0</x:v>
      </x:c>
      <x:c r="J164" s="25" t="n">
        <x:v>28147191.449693237</x:v>
      </x:c>
      <x:c r="K164" s="30" t="n">
        <x:v>0.04072113366464002</x:v>
      </x:c>
      <x:c r="L164" s="25" t="n">
        <x:v>5860361.458291017</x:v>
      </x:c>
      <x:c r="M164" s="25" t="n">
        <x:v>0.45</x:v>
      </x:c>
      <x:c r="N164" s="25" t="n">
        <x:v>1.5</x:v>
      </x:c>
      <x:c r="O164" s="25" t="n">
        <x:v>0.8</x:v>
      </x:c>
      <x:c r="P164" s="30" t="n">
        <x:v>0.10000000000000002</x:v>
      </x:c>
      <x:c r="Q164" s="25" t="n">
        <x:v>28147191.449693237</x:v>
      </x:c>
      <x:c r="R164" s="25" t="n">
        <x:v>0</x:v>
      </x:c>
    </x:row>
    <x:row r="165" ht="19" customHeight="1">
      <x:c r="A165" s="30" t="str">
        <x:v>A_conservative</x:v>
      </x:c>
      <x:c r="B165" s="25" t="n">
        <x:v>10000</x:v>
      </x:c>
      <x:c r="C165" s="25" t="n">
        <x:v>6939.81832766059</x:v>
      </x:c>
      <x:c r="D165" s="25" t="n">
        <x:v>2479.2420924837947</x:v>
      </x:c>
      <x:c r="E165" s="25" t="n">
        <x:v>634480022.5464479</x:v>
      </x:c>
      <x:c r="F165" s="25" t="n">
        <x:v>63448002.254644796</x:v>
      </x:c>
      <x:c r="G165" s="25" t="n">
        <x:v>18478613.393457197</x:v>
      </x:c>
      <x:c r="H165" s="25" t="n">
        <x:v>123962.10462418974</x:v>
      </x:c>
      <x:c r="I165" s="25" t="n">
        <x:v>50000</x:v>
      </x:c>
      <x:c r="J165" s="25" t="n">
        <x:v>44795426.75656341</x:v>
      </x:c>
      <x:c r="K165" s="30" t="n">
        <x:v>0.0291240271353137</x:v>
      </x:c>
      <x:c r="L165" s="25" t="n">
        <x:v>7060179.22783126</x:v>
      </x:c>
      <x:c r="M165" s="25" t="n">
        <x:v>0.45</x:v>
      </x:c>
      <x:c r="N165" s="25" t="n">
        <x:v>1.5</x:v>
      </x:c>
      <x:c r="O165" s="25" t="n">
        <x:v>0.8</x:v>
      </x:c>
      <x:c r="P165" s="30" t="n">
        <x:v>0.10000000000000002</x:v>
      </x:c>
      <x:c r="Q165" s="25" t="n">
        <x:v>28147191.449693237</x:v>
      </x:c>
      <x:c r="R165" s="25" t="n">
        <x:v>16648235.306870174</x:v>
      </x:c>
    </x:row>
    <x:row r="166" ht="19" customHeight="1">
      <x:c r="A166" s="30" t="str">
        <x:v>B_balanced</x:v>
      </x:c>
      <x:c r="B166" s="25" t="n">
        <x:v>10000</x:v>
      </x:c>
      <x:c r="C166" s="25" t="n">
        <x:v>8148.372970277712</x:v>
      </x:c>
      <x:c r="D166" s="25" t="n">
        <x:v>1484.4884774643917</x:v>
      </x:c>
      <x:c r="E166" s="25" t="n">
        <x:v>779209573.5686258</x:v>
      </x:c>
      <x:c r="F166" s="25" t="n">
        <x:v>77920957.35686259</x:v>
      </x:c>
      <x:c r="G166" s="25" t="n">
        <x:v>27309059.769766085</x:v>
      </x:c>
      <x:c r="H166" s="25" t="n">
        <x:v>74224.42387321958</x:v>
      </x:c>
      <x:c r="I166" s="25" t="n">
        <x:v>50000</x:v>
      </x:c>
      <x:c r="J166" s="25" t="n">
        <x:v>50487673.16322329</x:v>
      </x:c>
      <x:c r="K166" s="30" t="n">
        <x:v>0.03504713070284287</x:v>
      </x:c>
      <x:c r="L166" s="25" t="n">
        <x:v>6479344.566058106</x:v>
      </x:c>
      <x:c r="M166" s="25" t="n">
        <x:v>0.45</x:v>
      </x:c>
      <x:c r="N166" s="25" t="n">
        <x:v>1.5</x:v>
      </x:c>
      <x:c r="O166" s="25" t="n">
        <x:v>0.8</x:v>
      </x:c>
      <x:c r="P166" s="30" t="n">
        <x:v>0.10000000000000002</x:v>
      </x:c>
      <x:c r="Q166" s="25" t="n">
        <x:v>28147191.449693237</x:v>
      </x:c>
      <x:c r="R166" s="25" t="n">
        <x:v>22340481.713530052</x:v>
      </x:c>
    </x:row>
    <x:row r="167" ht="19" customHeight="1">
      <x:c r="A167" s="30" t="str">
        <x:v>surrogate_rules</x:v>
      </x:c>
      <x:c r="B167" s="25" t="n">
        <x:v>10000</x:v>
      </x:c>
      <x:c r="C167" s="25" t="n">
        <x:v>3765.1483946495546</x:v>
      </x:c>
      <x:c r="D167" s="25" t="n">
        <x:v>6486.439612374531</x:v>
      </x:c>
      <x:c r="E167" s="25" t="n">
        <x:v>298677564.11646104</x:v>
      </x:c>
      <x:c r="F167" s="25" t="n">
        <x:v>11947102.56465844</x:v>
      </x:c>
      <x:c r="G167" s="25" t="n">
        <x:v>5056821.384438615</x:v>
      </x:c>
      <x:c r="H167" s="25" t="n">
        <x:v>324321.9806187265</x:v>
      </x:c>
      <x:c r="I167" s="25" t="n">
        <x:v>0</x:v>
      </x:c>
      <x:c r="J167" s="25" t="n">
        <x:v>6565959.199601099</x:v>
      </x:c>
      <x:c r="K167" s="30" t="n">
        <x:v>0.016930703849140968</x:v>
      </x:c>
      <x:c r="L167" s="25" t="n">
        <x:v>2198343.628194612</x:v>
      </x:c>
      <x:c r="M167" s="25" t="n">
        <x:v>0.6</x:v>
      </x:c>
      <x:c r="N167" s="25" t="n">
        <x:v>0.5</x:v>
      </x:c>
      <x:c r="O167" s="25" t="n">
        <x:v>0.4</x:v>
      </x:c>
      <x:c r="P167" s="30" t="n">
        <x:v>0.039999999999999994</x:v>
      </x:c>
      <x:c r="Q167" s="25" t="n">
        <x:v>6565959.199601099</x:v>
      </x:c>
      <x:c r="R167" s="25" t="n">
        <x:v>0</x:v>
      </x:c>
    </x:row>
    <x:row r="168" ht="19" customHeight="1">
      <x:c r="A168" s="30" t="str">
        <x:v>A_conservative</x:v>
      </x:c>
      <x:c r="B168" s="25" t="n">
        <x:v>10000</x:v>
      </x:c>
      <x:c r="C168" s="25" t="n">
        <x:v>5948.121490667072</x:v>
      </x:c>
      <x:c r="D168" s="25" t="n">
        <x:v>2479.2420924837947</x:v>
      </x:c>
      <x:c r="E168" s="25" t="n">
        <x:v>565061243.9569017</x:v>
      </x:c>
      <x:c r="F168" s="25" t="n">
        <x:v>22602449.758276064</x:v>
      </x:c>
      <x:c r="G168" s="25" t="n">
        <x:v>6581047.976239513</x:v>
      </x:c>
      <x:c r="H168" s="25" t="n">
        <x:v>123962.10462418974</x:v>
      </x:c>
      <x:c r="I168" s="25" t="n">
        <x:v>50000</x:v>
      </x:c>
      <x:c r="J168" s="25" t="n">
        <x:v>15847439.67741236</x:v>
      </x:c>
      <x:c r="K168" s="30" t="n">
        <x:v>0.011646610073901055</x:v>
      </x:c>
      <x:c r="L168" s="25" t="n">
        <x:v>2804552.57671522</x:v>
      </x:c>
      <x:c r="M168" s="25" t="n">
        <x:v>0.6</x:v>
      </x:c>
      <x:c r="N168" s="25" t="n">
        <x:v>0.5</x:v>
      </x:c>
      <x:c r="O168" s="25" t="n">
        <x:v>0.4</x:v>
      </x:c>
      <x:c r="P168" s="30" t="n">
        <x:v>0.039999999999999994</x:v>
      </x:c>
      <x:c r="Q168" s="25" t="n">
        <x:v>6565959.199601099</x:v>
      </x:c>
      <x:c r="R168" s="25" t="n">
        <x:v>9281480.477811262</x:v>
      </x:c>
    </x:row>
    <x:row r="169" ht="19" customHeight="1">
      <x:c r="A169" s="30" t="str">
        <x:v>B_balanced</x:v>
      </x:c>
      <x:c r="B169" s="25" t="n">
        <x:v>10000</x:v>
      </x:c>
      <x:c r="C169" s="25" t="n">
        <x:v>7554.577579291957</x:v>
      </x:c>
      <x:c r="D169" s="25" t="n">
        <x:v>1484.4884774643917</x:v>
      </x:c>
      <x:c r="E169" s="25" t="n">
        <x:v>737643896.1996229</x:v>
      </x:c>
      <x:c r="F169" s="25" t="n">
        <x:v>29505755.84798491</x:v>
      </x:c>
      <x:c r="G169" s="25" t="n">
        <x:v>10735144.275586965</x:v>
      </x:c>
      <x:c r="H169" s="25" t="n">
        <x:v>74224.42387321958</x:v>
      </x:c>
      <x:c r="I169" s="25" t="n">
        <x:v>50000</x:v>
      </x:c>
      <x:c r="J169" s="25" t="n">
        <x:v>18646387.148524728</x:v>
      </x:c>
      <x:c r="K169" s="30" t="n">
        <x:v>0.01455328828842067</x:v>
      </x:c>
      <x:c r="L169" s="25" t="n">
        <x:v>2527830.467328723</x:v>
      </x:c>
      <x:c r="M169" s="25" t="n">
        <x:v>0.6</x:v>
      </x:c>
      <x:c r="N169" s="25" t="n">
        <x:v>0.5</x:v>
      </x:c>
      <x:c r="O169" s="25" t="n">
        <x:v>0.4</x:v>
      </x:c>
      <x:c r="P169" s="30" t="n">
        <x:v>0.039999999999999994</x:v>
      </x:c>
      <x:c r="Q169" s="25" t="n">
        <x:v>6565959.199601099</x:v>
      </x:c>
      <x:c r="R169" s="25" t="n">
        <x:v>12080427.948923629</x:v>
      </x:c>
    </x:row>
    <x:row r="170" ht="19" customHeight="1">
      <x:c r="A170" s="30" t="str">
        <x:v>surrogate_rules</x:v>
      </x:c>
      <x:c r="B170" s="25" t="n">
        <x:v>10000</x:v>
      </x:c>
      <x:c r="C170" s="25" t="n">
        <x:v>3765.1483946495546</x:v>
      </x:c>
      <x:c r="D170" s="25" t="n">
        <x:v>6486.439612374531</x:v>
      </x:c>
      <x:c r="E170" s="25" t="n">
        <x:v>298677564.11646104</x:v>
      </x:c>
      <x:c r="F170" s="25" t="n">
        <x:v>20907429.488152273</x:v>
      </x:c>
      <x:c r="G170" s="25" t="n">
        <x:v>5056821.384438615</x:v>
      </x:c>
      <x:c r="H170" s="25" t="n">
        <x:v>324321.9806187265</x:v>
      </x:c>
      <x:c r="I170" s="25" t="n">
        <x:v>0</x:v>
      </x:c>
      <x:c r="J170" s="25" t="n">
        <x:v>15526286.123094931</x:v>
      </x:c>
      <x:c r="K170" s="30" t="n">
        <x:v>0.016930703849140968</x:v>
      </x:c>
      <x:c r="L170" s="25" t="n">
        <x:v>5198343.628194612</x:v>
      </x:c>
      <x:c r="M170" s="25" t="n">
        <x:v>0.6</x:v>
      </x:c>
      <x:c r="N170" s="25" t="n">
        <x:v>0.5</x:v>
      </x:c>
      <x:c r="O170" s="25" t="n">
        <x:v>0.4</x:v>
      </x:c>
      <x:c r="P170" s="30" t="n">
        <x:v>0.07</x:v>
      </x:c>
      <x:c r="Q170" s="25" t="n">
        <x:v>15526286.123094931</x:v>
      </x:c>
      <x:c r="R170" s="25" t="n">
        <x:v>0</x:v>
      </x:c>
    </x:row>
    <x:row r="171" ht="19" customHeight="1">
      <x:c r="A171" s="30" t="str">
        <x:v>A_conservative</x:v>
      </x:c>
      <x:c r="B171" s="25" t="n">
        <x:v>10000</x:v>
      </x:c>
      <x:c r="C171" s="25" t="n">
        <x:v>5948.121490667072</x:v>
      </x:c>
      <x:c r="D171" s="25" t="n">
        <x:v>2479.2420924837947</x:v>
      </x:c>
      <x:c r="E171" s="25" t="n">
        <x:v>565061243.9569017</x:v>
      </x:c>
      <x:c r="F171" s="25" t="n">
        <x:v>39554287.076983124</x:v>
      </x:c>
      <x:c r="G171" s="25" t="n">
        <x:v>6581047.976239513</x:v>
      </x:c>
      <x:c r="H171" s="25" t="n">
        <x:v>123962.10462418974</x:v>
      </x:c>
      <x:c r="I171" s="25" t="n">
        <x:v>50000</x:v>
      </x:c>
      <x:c r="J171" s="25" t="n">
        <x:v>32799276.99611942</x:v>
      </x:c>
      <x:c r="K171" s="30" t="n">
        <x:v>0.011646610073901055</x:v>
      </x:c>
      <x:c r="L171" s="25" t="n">
        <x:v>5804552.576715222</x:v>
      </x:c>
      <x:c r="M171" s="25" t="n">
        <x:v>0.6</x:v>
      </x:c>
      <x:c r="N171" s="25" t="n">
        <x:v>0.5</x:v>
      </x:c>
      <x:c r="O171" s="25" t="n">
        <x:v>0.4</x:v>
      </x:c>
      <x:c r="P171" s="30" t="n">
        <x:v>0.07</x:v>
      </x:c>
      <x:c r="Q171" s="25" t="n">
        <x:v>15526286.123094931</x:v>
      </x:c>
      <x:c r="R171" s="25" t="n">
        <x:v>17272990.87302449</x:v>
      </x:c>
    </x:row>
    <x:row r="172" ht="19" customHeight="1">
      <x:c r="A172" s="30" t="str">
        <x:v>B_balanced</x:v>
      </x:c>
      <x:c r="B172" s="25" t="n">
        <x:v>10000</x:v>
      </x:c>
      <x:c r="C172" s="25" t="n">
        <x:v>7554.577579291957</x:v>
      </x:c>
      <x:c r="D172" s="25" t="n">
        <x:v>1484.4884774643917</x:v>
      </x:c>
      <x:c r="E172" s="25" t="n">
        <x:v>737643896.1996229</x:v>
      </x:c>
      <x:c r="F172" s="25" t="n">
        <x:v>51635072.73397361</x:v>
      </x:c>
      <x:c r="G172" s="25" t="n">
        <x:v>10735144.275586965</x:v>
      </x:c>
      <x:c r="H172" s="25" t="n">
        <x:v>74224.42387321958</x:v>
      </x:c>
      <x:c r="I172" s="25" t="n">
        <x:v>50000</x:v>
      </x:c>
      <x:c r="J172" s="25" t="n">
        <x:v>40775704.03451343</x:v>
      </x:c>
      <x:c r="K172" s="30" t="n">
        <x:v>0.01455328828842067</x:v>
      </x:c>
      <x:c r="L172" s="25" t="n">
        <x:v>5527830.467328725</x:v>
      </x:c>
      <x:c r="M172" s="25" t="n">
        <x:v>0.6</x:v>
      </x:c>
      <x:c r="N172" s="25" t="n">
        <x:v>0.5</x:v>
      </x:c>
      <x:c r="O172" s="25" t="n">
        <x:v>0.4</x:v>
      </x:c>
      <x:c r="P172" s="30" t="n">
        <x:v>0.07</x:v>
      </x:c>
      <x:c r="Q172" s="25" t="n">
        <x:v>15526286.123094931</x:v>
      </x:c>
      <x:c r="R172" s="25" t="n">
        <x:v>25249417.911418498</x:v>
      </x:c>
    </x:row>
    <x:row r="173" ht="19" customHeight="1">
      <x:c r="A173" s="30" t="str">
        <x:v>surrogate_rules</x:v>
      </x:c>
      <x:c r="B173" s="25" t="n">
        <x:v>10000</x:v>
      </x:c>
      <x:c r="C173" s="25" t="n">
        <x:v>3765.1483946495546</x:v>
      </x:c>
      <x:c r="D173" s="25" t="n">
        <x:v>6486.439612374531</x:v>
      </x:c>
      <x:c r="E173" s="25" t="n">
        <x:v>298677564.11646104</x:v>
      </x:c>
      <x:c r="F173" s="25" t="n">
        <x:v>29867756.41164611</x:v>
      </x:c>
      <x:c r="G173" s="25" t="n">
        <x:v>5056821.384438615</x:v>
      </x:c>
      <x:c r="H173" s="25" t="n">
        <x:v>324321.9806187265</x:v>
      </x:c>
      <x:c r="I173" s="25" t="n">
        <x:v>0</x:v>
      </x:c>
      <x:c r="J173" s="25" t="n">
        <x:v>24486613.046588767</x:v>
      </x:c>
      <x:c r="K173" s="30" t="n">
        <x:v>0.016930703849140968</x:v>
      </x:c>
      <x:c r="L173" s="25" t="n">
        <x:v>8198343.628194614</x:v>
      </x:c>
      <x:c r="M173" s="25" t="n">
        <x:v>0.6</x:v>
      </x:c>
      <x:c r="N173" s="25" t="n">
        <x:v>0.5</x:v>
      </x:c>
      <x:c r="O173" s="25" t="n">
        <x:v>0.4</x:v>
      </x:c>
      <x:c r="P173" s="30" t="n">
        <x:v>0.10000000000000002</x:v>
      </x:c>
      <x:c r="Q173" s="25" t="n">
        <x:v>24486613.046588767</x:v>
      </x:c>
      <x:c r="R173" s="25" t="n">
        <x:v>0</x:v>
      </x:c>
    </x:row>
    <x:row r="174" ht="19" customHeight="1">
      <x:c r="A174" s="30" t="str">
        <x:v>A_conservative</x:v>
      </x:c>
      <x:c r="B174" s="25" t="n">
        <x:v>10000</x:v>
      </x:c>
      <x:c r="C174" s="25" t="n">
        <x:v>5948.121490667072</x:v>
      </x:c>
      <x:c r="D174" s="25" t="n">
        <x:v>2479.2420924837947</x:v>
      </x:c>
      <x:c r="E174" s="25" t="n">
        <x:v>565061243.9569017</x:v>
      </x:c>
      <x:c r="F174" s="25" t="n">
        <x:v>56506124.39569018</x:v>
      </x:c>
      <x:c r="G174" s="25" t="n">
        <x:v>6581047.976239513</x:v>
      </x:c>
      <x:c r="H174" s="25" t="n">
        <x:v>123962.10462418974</x:v>
      </x:c>
      <x:c r="I174" s="25" t="n">
        <x:v>50000</x:v>
      </x:c>
      <x:c r="J174" s="25" t="n">
        <x:v>49751114.31482648</x:v>
      </x:c>
      <x:c r="K174" s="30" t="n">
        <x:v>0.011646610073901055</x:v>
      </x:c>
      <x:c r="L174" s="25" t="n">
        <x:v>8804552.576715223</x:v>
      </x:c>
      <x:c r="M174" s="25" t="n">
        <x:v>0.6</x:v>
      </x:c>
      <x:c r="N174" s="25" t="n">
        <x:v>0.5</x:v>
      </x:c>
      <x:c r="O174" s="25" t="n">
        <x:v>0.4</x:v>
      </x:c>
      <x:c r="P174" s="30" t="n">
        <x:v>0.10000000000000002</x:v>
      </x:c>
      <x:c r="Q174" s="25" t="n">
        <x:v>24486613.046588767</x:v>
      </x:c>
      <x:c r="R174" s="25" t="n">
        <x:v>25264501.268237714</x:v>
      </x:c>
    </x:row>
    <x:row r="175" ht="19" customHeight="1">
      <x:c r="A175" s="30" t="str">
        <x:v>B_balanced</x:v>
      </x:c>
      <x:c r="B175" s="25" t="n">
        <x:v>10000</x:v>
      </x:c>
      <x:c r="C175" s="25" t="n">
        <x:v>7554.577579291957</x:v>
      </x:c>
      <x:c r="D175" s="25" t="n">
        <x:v>1484.4884774643917</x:v>
      </x:c>
      <x:c r="E175" s="25" t="n">
        <x:v>737643896.1996229</x:v>
      </x:c>
      <x:c r="F175" s="25" t="n">
        <x:v>73764389.6199623</x:v>
      </x:c>
      <x:c r="G175" s="25" t="n">
        <x:v>10735144.275586965</x:v>
      </x:c>
      <x:c r="H175" s="25" t="n">
        <x:v>74224.42387321958</x:v>
      </x:c>
      <x:c r="I175" s="25" t="n">
        <x:v>50000</x:v>
      </x:c>
      <x:c r="J175" s="25" t="n">
        <x:v>62905020.920502126</x:v>
      </x:c>
      <x:c r="K175" s="30" t="n">
        <x:v>0.01455328828842067</x:v>
      </x:c>
      <x:c r="L175" s="25" t="n">
        <x:v>8527830.467328727</x:v>
      </x:c>
      <x:c r="M175" s="25" t="n">
        <x:v>0.6</x:v>
      </x:c>
      <x:c r="N175" s="25" t="n">
        <x:v>0.5</x:v>
      </x:c>
      <x:c r="O175" s="25" t="n">
        <x:v>0.4</x:v>
      </x:c>
      <x:c r="P175" s="30" t="n">
        <x:v>0.10000000000000002</x:v>
      </x:c>
      <x:c r="Q175" s="25" t="n">
        <x:v>24486613.046588767</x:v>
      </x:c>
      <x:c r="R175" s="25" t="n">
        <x:v>38418407.87391336</x:v>
      </x:c>
    </x:row>
    <x:row r="176" ht="19" customHeight="1">
      <x:c r="A176" s="30" t="str">
        <x:v>surrogate_rules</x:v>
      </x:c>
      <x:c r="B176" s="25" t="n">
        <x:v>10000</x:v>
      </x:c>
      <x:c r="C176" s="25" t="n">
        <x:v>5062.43631712446</x:v>
      </x:c>
      <x:c r="D176" s="25" t="n">
        <x:v>6486.439612374531</x:v>
      </x:c>
      <x:c r="E176" s="25" t="n">
        <x:v>389487718.6897046</x:v>
      </x:c>
      <x:c r="F176" s="25" t="n">
        <x:v>15579508.747588182</x:v>
      </x:c>
      <x:c r="G176" s="25" t="n">
        <x:v>6874693.780215492</x:v>
      </x:c>
      <x:c r="H176" s="25" t="n">
        <x:v>324321.9806187265</x:v>
      </x:c>
      <x:c r="I176" s="25" t="n">
        <x:v>0</x:v>
      </x:c>
      <x:c r="J176" s="25" t="n">
        <x:v>8380492.986753963</x:v>
      </x:c>
      <x:c r="K176" s="30" t="n">
        <x:v>0.017650604756789246</x:v>
      </x:c>
      <x:c r="L176" s="25" t="n">
        <x:v>2151670.6649819934</x:v>
      </x:c>
      <x:c r="M176" s="25" t="n">
        <x:v>0.6</x:v>
      </x:c>
      <x:c r="N176" s="25" t="n">
        <x:v>0.5</x:v>
      </x:c>
      <x:c r="O176" s="25" t="n">
        <x:v>0.6</x:v>
      </x:c>
      <x:c r="P176" s="30" t="n">
        <x:v>0.039999999999999994</x:v>
      </x:c>
      <x:c r="Q176" s="25" t="n">
        <x:v>8380492.986753963</x:v>
      </x:c>
      <x:c r="R176" s="25" t="n">
        <x:v>0</x:v>
      </x:c>
    </x:row>
    <x:row r="177" ht="19" customHeight="1">
      <x:c r="A177" s="30" t="str">
        <x:v>A_conservative</x:v>
      </x:c>
      <x:c r="B177" s="25" t="n">
        <x:v>10000</x:v>
      </x:c>
      <x:c r="C177" s="25" t="n">
        <x:v>6443.96990916383</x:v>
      </x:c>
      <x:c r="D177" s="25" t="n">
        <x:v>2479.2420924837947</x:v>
      </x:c>
      <x:c r="E177" s="25" t="n">
        <x:v>599770633.2516748</x:v>
      </x:c>
      <x:c r="F177" s="25" t="n">
        <x:v>23990825.330066986</x:v>
      </x:c>
      <x:c r="G177" s="25" t="n">
        <x:v>7396882.5199991325</x:v>
      </x:c>
      <x:c r="H177" s="25" t="n">
        <x:v>123962.10462418974</x:v>
      </x:c>
      <x:c r="I177" s="25" t="n">
        <x:v>50000</x:v>
      </x:c>
      <x:c r="J177" s="25" t="n">
        <x:v>16419980.705443665</x:v>
      </x:c>
      <x:c r="K177" s="30" t="n">
        <x:v>0.01233285211030875</x:v>
      </x:c>
      <x:c r="L177" s="25" t="n">
        <x:v>2737710.016981365</x:v>
      </x:c>
      <x:c r="M177" s="25" t="n">
        <x:v>0.6</x:v>
      </x:c>
      <x:c r="N177" s="25" t="n">
        <x:v>0.5</x:v>
      </x:c>
      <x:c r="O177" s="25" t="n">
        <x:v>0.6</x:v>
      </x:c>
      <x:c r="P177" s="30" t="n">
        <x:v>0.039999999999999994</x:v>
      </x:c>
      <x:c r="Q177" s="25" t="n">
        <x:v>8380492.986753963</x:v>
      </x:c>
      <x:c r="R177" s="25" t="n">
        <x:v>8039487.718689702</x:v>
      </x:c>
    </x:row>
    <x:row r="178" ht="19" customHeight="1">
      <x:c r="A178" s="30" t="str">
        <x:v>B_balanced</x:v>
      </x:c>
      <x:c r="B178" s="25" t="n">
        <x:v>10000</x:v>
      </x:c>
      <x:c r="C178" s="25" t="n">
        <x:v>7851.4752747848315</x:v>
      </x:c>
      <x:c r="D178" s="25" t="n">
        <x:v>1484.4884774643917</x:v>
      </x:c>
      <x:c r="E178" s="25" t="n">
        <x:v>758426734.8841242</x:v>
      </x:c>
      <x:c r="F178" s="25" t="n">
        <x:v>30337069.395364963</x:v>
      </x:c>
      <x:c r="G178" s="25" t="n">
        <x:v>11436252.086630391</x:v>
      </x:c>
      <x:c r="H178" s="25" t="n">
        <x:v>74224.42387321958</x:v>
      </x:c>
      <x:c r="I178" s="25" t="n">
        <x:v>50000</x:v>
      </x:c>
      <x:c r="J178" s="25" t="n">
        <x:v>18776592.884861354</x:v>
      </x:c>
      <x:c r="K178" s="30" t="n">
        <x:v>0.015078914759482566</x:v>
      </x:c>
      <x:c r="L178" s="25" t="n">
        <x:v>2475729.29872127</x:v>
      </x:c>
      <x:c r="M178" s="25" t="n">
        <x:v>0.6</x:v>
      </x:c>
      <x:c r="N178" s="25" t="n">
        <x:v>0.5</x:v>
      </x:c>
      <x:c r="O178" s="25" t="n">
        <x:v>0.6</x:v>
      </x:c>
      <x:c r="P178" s="30" t="n">
        <x:v>0.039999999999999994</x:v>
      </x:c>
      <x:c r="Q178" s="25" t="n">
        <x:v>8380492.986753963</x:v>
      </x:c>
      <x:c r="R178" s="25" t="n">
        <x:v>10396099.89810739</x:v>
      </x:c>
    </x:row>
    <x:row r="179" ht="19" customHeight="1">
      <x:c r="A179" s="30" t="str">
        <x:v>surrogate_rules</x:v>
      </x:c>
      <x:c r="B179" s="25" t="n">
        <x:v>10000</x:v>
      </x:c>
      <x:c r="C179" s="25" t="n">
        <x:v>5062.43631712446</x:v>
      </x:c>
      <x:c r="D179" s="25" t="n">
        <x:v>6486.439612374531</x:v>
      </x:c>
      <x:c r="E179" s="25" t="n">
        <x:v>389487718.6897046</x:v>
      </x:c>
      <x:c r="F179" s="25" t="n">
        <x:v>27264140.308279324</x:v>
      </x:c>
      <x:c r="G179" s="25" t="n">
        <x:v>6874693.780215492</x:v>
      </x:c>
      <x:c r="H179" s="25" t="n">
        <x:v>324321.9806187265</x:v>
      </x:c>
      <x:c r="I179" s="25" t="n">
        <x:v>0</x:v>
      </x:c>
      <x:c r="J179" s="25" t="n">
        <x:v>20065124.547445107</x:v>
      </x:c>
      <x:c r="K179" s="30" t="n">
        <x:v>0.017650604756789246</x:v>
      </x:c>
      <x:c r="L179" s="25" t="n">
        <x:v>5151670.664981995</x:v>
      </x:c>
      <x:c r="M179" s="25" t="n">
        <x:v>0.6</x:v>
      </x:c>
      <x:c r="N179" s="25" t="n">
        <x:v>0.5</x:v>
      </x:c>
      <x:c r="O179" s="25" t="n">
        <x:v>0.6</x:v>
      </x:c>
      <x:c r="P179" s="30" t="n">
        <x:v>0.07</x:v>
      </x:c>
      <x:c r="Q179" s="25" t="n">
        <x:v>20065124.547445107</x:v>
      </x:c>
      <x:c r="R179" s="25" t="n">
        <x:v>0</x:v>
      </x:c>
    </x:row>
    <x:row r="180" ht="19" customHeight="1">
      <x:c r="A180" s="30" t="str">
        <x:v>A_conservative</x:v>
      </x:c>
      <x:c r="B180" s="25" t="n">
        <x:v>10000</x:v>
      </x:c>
      <x:c r="C180" s="25" t="n">
        <x:v>6443.96990916383</x:v>
      </x:c>
      <x:c r="D180" s="25" t="n">
        <x:v>2479.2420924837947</x:v>
      </x:c>
      <x:c r="E180" s="25" t="n">
        <x:v>599770633.2516748</x:v>
      </x:c>
      <x:c r="F180" s="25" t="n">
        <x:v>41983944.327617235</x:v>
      </x:c>
      <x:c r="G180" s="25" t="n">
        <x:v>7396882.5199991325</x:v>
      </x:c>
      <x:c r="H180" s="25" t="n">
        <x:v>123962.10462418974</x:v>
      </x:c>
      <x:c r="I180" s="25" t="n">
        <x:v>50000</x:v>
      </x:c>
      <x:c r="J180" s="25" t="n">
        <x:v>34413099.702993914</x:v>
      </x:c>
      <x:c r="K180" s="30" t="n">
        <x:v>0.01233285211030875</x:v>
      </x:c>
      <x:c r="L180" s="25" t="n">
        <x:v>5737710.016981366</x:v>
      </x:c>
      <x:c r="M180" s="25" t="n">
        <x:v>0.6</x:v>
      </x:c>
      <x:c r="N180" s="25" t="n">
        <x:v>0.5</x:v>
      </x:c>
      <x:c r="O180" s="25" t="n">
        <x:v>0.6</x:v>
      </x:c>
      <x:c r="P180" s="30" t="n">
        <x:v>0.07</x:v>
      </x:c>
      <x:c r="Q180" s="25" t="n">
        <x:v>20065124.547445107</x:v>
      </x:c>
      <x:c r="R180" s="25" t="n">
        <x:v>14347975.155548807</x:v>
      </x:c>
    </x:row>
    <x:row r="181" ht="19" customHeight="1">
      <x:c r="A181" s="30" t="str">
        <x:v>B_balanced</x:v>
      </x:c>
      <x:c r="B181" s="25" t="n">
        <x:v>10000</x:v>
      </x:c>
      <x:c r="C181" s="25" t="n">
        <x:v>7851.4752747848315</x:v>
      </x:c>
      <x:c r="D181" s="25" t="n">
        <x:v>1484.4884774643917</x:v>
      </x:c>
      <x:c r="E181" s="25" t="n">
        <x:v>758426734.8841242</x:v>
      </x:c>
      <x:c r="F181" s="25" t="n">
        <x:v>53089871.4418887</x:v>
      </x:c>
      <x:c r="G181" s="25" t="n">
        <x:v>11436252.086630391</x:v>
      </x:c>
      <x:c r="H181" s="25" t="n">
        <x:v>74224.42387321958</x:v>
      </x:c>
      <x:c r="I181" s="25" t="n">
        <x:v>50000</x:v>
      </x:c>
      <x:c r="J181" s="25" t="n">
        <x:v>41529394.93138509</x:v>
      </x:c>
      <x:c r="K181" s="30" t="n">
        <x:v>0.015078914759482566</x:v>
      </x:c>
      <x:c r="L181" s="25" t="n">
        <x:v>5475729.2987212725</x:v>
      </x:c>
      <x:c r="M181" s="25" t="n">
        <x:v>0.6</x:v>
      </x:c>
      <x:c r="N181" s="25" t="n">
        <x:v>0.5</x:v>
      </x:c>
      <x:c r="O181" s="25" t="n">
        <x:v>0.6</x:v>
      </x:c>
      <x:c r="P181" s="30" t="n">
        <x:v>0.07</x:v>
      </x:c>
      <x:c r="Q181" s="25" t="n">
        <x:v>20065124.547445107</x:v>
      </x:c>
      <x:c r="R181" s="25" t="n">
        <x:v>21464270.383939985</x:v>
      </x:c>
    </x:row>
    <x:row r="182" ht="19" customHeight="1">
      <x:c r="A182" s="30" t="str">
        <x:v>surrogate_rules</x:v>
      </x:c>
      <x:c r="B182" s="25" t="n">
        <x:v>10000</x:v>
      </x:c>
      <x:c r="C182" s="25" t="n">
        <x:v>5062.43631712446</x:v>
      </x:c>
      <x:c r="D182" s="25" t="n">
        <x:v>6486.439612374531</x:v>
      </x:c>
      <x:c r="E182" s="25" t="n">
        <x:v>389487718.6897046</x:v>
      </x:c>
      <x:c r="F182" s="25" t="n">
        <x:v>38948771.86897047</x:v>
      </x:c>
      <x:c r="G182" s="25" t="n">
        <x:v>6874693.780215492</x:v>
      </x:c>
      <x:c r="H182" s="25" t="n">
        <x:v>324321.9806187265</x:v>
      </x:c>
      <x:c r="I182" s="25" t="n">
        <x:v>0</x:v>
      </x:c>
      <x:c r="J182" s="25" t="n">
        <x:v>31749756.10813625</x:v>
      </x:c>
      <x:c r="K182" s="30" t="n">
        <x:v>0.017650604756789246</x:v>
      </x:c>
      <x:c r="L182" s="25" t="n">
        <x:v>8151670.664981997</x:v>
      </x:c>
      <x:c r="M182" s="25" t="n">
        <x:v>0.6</x:v>
      </x:c>
      <x:c r="N182" s="25" t="n">
        <x:v>0.5</x:v>
      </x:c>
      <x:c r="O182" s="25" t="n">
        <x:v>0.6</x:v>
      </x:c>
      <x:c r="P182" s="30" t="n">
        <x:v>0.10000000000000002</x:v>
      </x:c>
      <x:c r="Q182" s="25" t="n">
        <x:v>31749756.10813625</x:v>
      </x:c>
      <x:c r="R182" s="25" t="n">
        <x:v>0</x:v>
      </x:c>
    </x:row>
    <x:row r="183" ht="19" customHeight="1">
      <x:c r="A183" s="30" t="str">
        <x:v>A_conservative</x:v>
      </x:c>
      <x:c r="B183" s="25" t="n">
        <x:v>10000</x:v>
      </x:c>
      <x:c r="C183" s="25" t="n">
        <x:v>6443.96990916383</x:v>
      </x:c>
      <x:c r="D183" s="25" t="n">
        <x:v>2479.2420924837947</x:v>
      </x:c>
      <x:c r="E183" s="25" t="n">
        <x:v>599770633.2516748</x:v>
      </x:c>
      <x:c r="F183" s="25" t="n">
        <x:v>59977063.32516749</x:v>
      </x:c>
      <x:c r="G183" s="25" t="n">
        <x:v>7396882.5199991325</x:v>
      </x:c>
      <x:c r="H183" s="25" t="n">
        <x:v>123962.10462418974</x:v>
      </x:c>
      <x:c r="I183" s="25" t="n">
        <x:v>50000</x:v>
      </x:c>
      <x:c r="J183" s="25" t="n">
        <x:v>52406218.70054417</x:v>
      </x:c>
      <x:c r="K183" s="30" t="n">
        <x:v>0.01233285211030875</x:v>
      </x:c>
      <x:c r="L183" s="25" t="n">
        <x:v>8737710.016981367</x:v>
      </x:c>
      <x:c r="M183" s="25" t="n">
        <x:v>0.6</x:v>
      </x:c>
      <x:c r="N183" s="25" t="n">
        <x:v>0.5</x:v>
      </x:c>
      <x:c r="O183" s="25" t="n">
        <x:v>0.6</x:v>
      </x:c>
      <x:c r="P183" s="30" t="n">
        <x:v>0.10000000000000002</x:v>
      </x:c>
      <x:c r="Q183" s="25" t="n">
        <x:v>31749756.10813625</x:v>
      </x:c>
      <x:c r="R183" s="25" t="n">
        <x:v>20656462.59240792</x:v>
      </x:c>
    </x:row>
    <x:row r="184" ht="19" customHeight="1">
      <x:c r="A184" s="30" t="str">
        <x:v>B_balanced</x:v>
      </x:c>
      <x:c r="B184" s="25" t="n">
        <x:v>10000</x:v>
      </x:c>
      <x:c r="C184" s="25" t="n">
        <x:v>7851.4752747848315</x:v>
      </x:c>
      <x:c r="D184" s="25" t="n">
        <x:v>1484.4884774643917</x:v>
      </x:c>
      <x:c r="E184" s="25" t="n">
        <x:v>758426734.8841242</x:v>
      </x:c>
      <x:c r="F184" s="25" t="n">
        <x:v>75842673.48841242</x:v>
      </x:c>
      <x:c r="G184" s="25" t="n">
        <x:v>11436252.086630391</x:v>
      </x:c>
      <x:c r="H184" s="25" t="n">
        <x:v>74224.42387321958</x:v>
      </x:c>
      <x:c r="I184" s="25" t="n">
        <x:v>50000</x:v>
      </x:c>
      <x:c r="J184" s="25" t="n">
        <x:v>64282196.97790882</x:v>
      </x:c>
      <x:c r="K184" s="30" t="n">
        <x:v>0.015078914759482566</x:v>
      </x:c>
      <x:c r="L184" s="25" t="n">
        <x:v>8475729.298721272</x:v>
      </x:c>
      <x:c r="M184" s="25" t="n">
        <x:v>0.6</x:v>
      </x:c>
      <x:c r="N184" s="25" t="n">
        <x:v>0.5</x:v>
      </x:c>
      <x:c r="O184" s="25" t="n">
        <x:v>0.6</x:v>
      </x:c>
      <x:c r="P184" s="30" t="n">
        <x:v>0.10000000000000002</x:v>
      </x:c>
      <x:c r="Q184" s="25" t="n">
        <x:v>31749756.10813625</x:v>
      </x:c>
      <x:c r="R184" s="25" t="n">
        <x:v>32532440.86977257</x:v>
      </x:c>
    </x:row>
    <x:row r="185" ht="19" customHeight="1">
      <x:c r="A185" s="30" t="str">
        <x:v>surrogate_rules</x:v>
      </x:c>
      <x:c r="B185" s="25" t="n">
        <x:v>10000</x:v>
      </x:c>
      <x:c r="C185" s="25" t="n">
        <x:v>6359.724239599367</x:v>
      </x:c>
      <x:c r="D185" s="25" t="n">
        <x:v>6486.439612374531</x:v>
      </x:c>
      <x:c r="E185" s="25" t="n">
        <x:v>480297873.26294786</x:v>
      </x:c>
      <x:c r="F185" s="25" t="n">
        <x:v>19211914.930517912</x:v>
      </x:c>
      <x:c r="G185" s="25" t="n">
        <x:v>8692566.175992368</x:v>
      </x:c>
      <x:c r="H185" s="25" t="n">
        <x:v>324321.9806187265</x:v>
      </x:c>
      <x:c r="I185" s="25" t="n">
        <x:v>0</x:v>
      </x:c>
      <x:c r="J185" s="25" t="n">
        <x:v>10195026.773906818</x:v>
      </x:c>
      <x:c r="K185" s="30" t="n">
        <x:v>0.018098281628728893</x:v>
      </x:c>
      <x:c r="L185" s="25" t="n">
        <x:v>2122646.661882128</x:v>
      </x:c>
      <x:c r="M185" s="25" t="n">
        <x:v>0.6</x:v>
      </x:c>
      <x:c r="N185" s="25" t="n">
        <x:v>0.5</x:v>
      </x:c>
      <x:c r="O185" s="25" t="n">
        <x:v>0.8</x:v>
      </x:c>
      <x:c r="P185" s="30" t="n">
        <x:v>0.039999999999999994</x:v>
      </x:c>
      <x:c r="Q185" s="25" t="n">
        <x:v>10195026.773906818</x:v>
      </x:c>
      <x:c r="R185" s="25" t="n">
        <x:v>0</x:v>
      </x:c>
    </x:row>
    <x:row r="186" ht="19" customHeight="1">
      <x:c r="A186" s="30" t="str">
        <x:v>A_conservative</x:v>
      </x:c>
      <x:c r="B186" s="25" t="n">
        <x:v>10000</x:v>
      </x:c>
      <x:c r="C186" s="25" t="n">
        <x:v>6939.81832766059</x:v>
      </x:c>
      <x:c r="D186" s="25" t="n">
        <x:v>2479.2420924837947</x:v>
      </x:c>
      <x:c r="E186" s="25" t="n">
        <x:v>634480022.5464479</x:v>
      </x:c>
      <x:c r="F186" s="25" t="n">
        <x:v>25379200.901857913</x:v>
      </x:c>
      <x:c r="G186" s="25" t="n">
        <x:v>8212717.063758753</x:v>
      </x:c>
      <x:c r="H186" s="25" t="n">
        <x:v>123962.10462418974</x:v>
      </x:c>
      <x:c r="I186" s="25" t="n">
        <x:v>50000</x:v>
      </x:c>
      <x:c r="J186" s="25" t="n">
        <x:v>16992521.73347497</x:v>
      </x:c>
      <x:c r="K186" s="30" t="n">
        <x:v>0.01294401206013942</x:v>
      </x:c>
      <x:c r="L186" s="25" t="n">
        <x:v>2678180.7353486866</x:v>
      </x:c>
      <x:c r="M186" s="25" t="n">
        <x:v>0.6</x:v>
      </x:c>
      <x:c r="N186" s="25" t="n">
        <x:v>0.5</x:v>
      </x:c>
      <x:c r="O186" s="25" t="n">
        <x:v>0.8</x:v>
      </x:c>
      <x:c r="P186" s="30" t="n">
        <x:v>0.039999999999999994</x:v>
      </x:c>
      <x:c r="Q186" s="25" t="n">
        <x:v>10195026.773906818</x:v>
      </x:c>
      <x:c r="R186" s="25" t="n">
        <x:v>6797494.959568152</x:v>
      </x:c>
    </x:row>
    <x:row r="187" ht="19" customHeight="1">
      <x:c r="A187" s="30" t="str">
        <x:v>B_balanced</x:v>
      </x:c>
      <x:c r="B187" s="25" t="n">
        <x:v>10000</x:v>
      </x:c>
      <x:c r="C187" s="25" t="n">
        <x:v>8148.372970277712</x:v>
      </x:c>
      <x:c r="D187" s="25" t="n">
        <x:v>1484.4884774643917</x:v>
      </x:c>
      <x:c r="E187" s="25" t="n">
        <x:v>779209573.5686258</x:v>
      </x:c>
      <x:c r="F187" s="25" t="n">
        <x:v>31168382.942745026</x:v>
      </x:c>
      <x:c r="G187" s="25" t="n">
        <x:v>12137359.897673814</x:v>
      </x:c>
      <x:c r="H187" s="25" t="n">
        <x:v>74224.42387321958</x:v>
      </x:c>
      <x:c r="I187" s="25" t="n">
        <x:v>50000</x:v>
      </x:c>
      <x:c r="J187" s="25" t="n">
        <x:v>18906798.621197995</x:v>
      </x:c>
      <x:c r="K187" s="30" t="n">
        <x:v>0.015576502534596828</x:v>
      </x:c>
      <x:c r="L187" s="25" t="n">
        <x:v>2426407.382882707</x:v>
      </x:c>
      <x:c r="M187" s="25" t="n">
        <x:v>0.6</x:v>
      </x:c>
      <x:c r="N187" s="25" t="n">
        <x:v>0.5</x:v>
      </x:c>
      <x:c r="O187" s="25" t="n">
        <x:v>0.8</x:v>
      </x:c>
      <x:c r="P187" s="30" t="n">
        <x:v>0.039999999999999994</x:v>
      </x:c>
      <x:c r="Q187" s="25" t="n">
        <x:v>10195026.773906818</x:v>
      </x:c>
      <x:c r="R187" s="25" t="n">
        <x:v>8711771.847291177</x:v>
      </x:c>
    </x:row>
    <x:row r="188" ht="19" customHeight="1">
      <x:c r="A188" s="30" t="str">
        <x:v>surrogate_rules</x:v>
      </x:c>
      <x:c r="B188" s="25" t="n">
        <x:v>10000</x:v>
      </x:c>
      <x:c r="C188" s="25" t="n">
        <x:v>6359.724239599367</x:v>
      </x:c>
      <x:c r="D188" s="25" t="n">
        <x:v>6486.439612374531</x:v>
      </x:c>
      <x:c r="E188" s="25" t="n">
        <x:v>480297873.26294786</x:v>
      </x:c>
      <x:c r="F188" s="25" t="n">
        <x:v>33620851.12840635</x:v>
      </x:c>
      <x:c r="G188" s="25" t="n">
        <x:v>8692566.175992368</x:v>
      </x:c>
      <x:c r="H188" s="25" t="n">
        <x:v>324321.9806187265</x:v>
      </x:c>
      <x:c r="I188" s="25" t="n">
        <x:v>0</x:v>
      </x:c>
      <x:c r="J188" s="25" t="n">
        <x:v>24603962.971795257</x:v>
      </x:c>
      <x:c r="K188" s="30" t="n">
        <x:v>0.018098281628728893</x:v>
      </x:c>
      <x:c r="L188" s="25" t="n">
        <x:v>5122646.6618821295</x:v>
      </x:c>
      <x:c r="M188" s="25" t="n">
        <x:v>0.6</x:v>
      </x:c>
      <x:c r="N188" s="25" t="n">
        <x:v>0.5</x:v>
      </x:c>
      <x:c r="O188" s="25" t="n">
        <x:v>0.8</x:v>
      </x:c>
      <x:c r="P188" s="30" t="n">
        <x:v>0.07</x:v>
      </x:c>
      <x:c r="Q188" s="25" t="n">
        <x:v>24603962.971795257</x:v>
      </x:c>
      <x:c r="R188" s="25" t="n">
        <x:v>0</x:v>
      </x:c>
    </x:row>
    <x:row r="189" ht="19" customHeight="1">
      <x:c r="A189" s="30" t="str">
        <x:v>A_conservative</x:v>
      </x:c>
      <x:c r="B189" s="25" t="n">
        <x:v>10000</x:v>
      </x:c>
      <x:c r="C189" s="25" t="n">
        <x:v>6939.81832766059</x:v>
      </x:c>
      <x:c r="D189" s="25" t="n">
        <x:v>2479.2420924837947</x:v>
      </x:c>
      <x:c r="E189" s="25" t="n">
        <x:v>634480022.5464479</x:v>
      </x:c>
      <x:c r="F189" s="25" t="n">
        <x:v>44413601.578251354</x:v>
      </x:c>
      <x:c r="G189" s="25" t="n">
        <x:v>8212717.063758753</x:v>
      </x:c>
      <x:c r="H189" s="25" t="n">
        <x:v>123962.10462418974</x:v>
      </x:c>
      <x:c r="I189" s="25" t="n">
        <x:v>50000</x:v>
      </x:c>
      <x:c r="J189" s="25" t="n">
        <x:v>36026922.40986841</x:v>
      </x:c>
      <x:c r="K189" s="30" t="n">
        <x:v>0.01294401206013942</x:v>
      </x:c>
      <x:c r="L189" s="25" t="n">
        <x:v>5678180.7353486875</x:v>
      </x:c>
      <x:c r="M189" s="25" t="n">
        <x:v>0.6</x:v>
      </x:c>
      <x:c r="N189" s="25" t="n">
        <x:v>0.5</x:v>
      </x:c>
      <x:c r="O189" s="25" t="n">
        <x:v>0.8</x:v>
      </x:c>
      <x:c r="P189" s="30" t="n">
        <x:v>0.07</x:v>
      </x:c>
      <x:c r="Q189" s="25" t="n">
        <x:v>24603962.971795257</x:v>
      </x:c>
      <x:c r="R189" s="25" t="n">
        <x:v>11422959.438073155</x:v>
      </x:c>
    </x:row>
    <x:row r="190" ht="19" customHeight="1">
      <x:c r="A190" s="30" t="str">
        <x:v>B_balanced</x:v>
      </x:c>
      <x:c r="B190" s="25" t="n">
        <x:v>10000</x:v>
      </x:c>
      <x:c r="C190" s="25" t="n">
        <x:v>8148.372970277712</x:v>
      </x:c>
      <x:c r="D190" s="25" t="n">
        <x:v>1484.4884774643917</x:v>
      </x:c>
      <x:c r="E190" s="25" t="n">
        <x:v>779209573.5686258</x:v>
      </x:c>
      <x:c r="F190" s="25" t="n">
        <x:v>54544670.14980381</x:v>
      </x:c>
      <x:c r="G190" s="25" t="n">
        <x:v>12137359.897673814</x:v>
      </x:c>
      <x:c r="H190" s="25" t="n">
        <x:v>74224.42387321958</x:v>
      </x:c>
      <x:c r="I190" s="25" t="n">
        <x:v>50000</x:v>
      </x:c>
      <x:c r="J190" s="25" t="n">
        <x:v>42283085.82825678</x:v>
      </x:c>
      <x:c r="K190" s="30" t="n">
        <x:v>0.015576502534596828</x:v>
      </x:c>
      <x:c r="L190" s="25" t="n">
        <x:v>5426407.382882708</x:v>
      </x:c>
      <x:c r="M190" s="25" t="n">
        <x:v>0.6</x:v>
      </x:c>
      <x:c r="N190" s="25" t="n">
        <x:v>0.5</x:v>
      </x:c>
      <x:c r="O190" s="25" t="n">
        <x:v>0.8</x:v>
      </x:c>
      <x:c r="P190" s="30" t="n">
        <x:v>0.07</x:v>
      </x:c>
      <x:c r="Q190" s="25" t="n">
        <x:v>24603962.971795257</x:v>
      </x:c>
      <x:c r="R190" s="25" t="n">
        <x:v>17679122.85646152</x:v>
      </x:c>
    </x:row>
    <x:row r="191" ht="19" customHeight="1">
      <x:c r="A191" s="30" t="str">
        <x:v>surrogate_rules</x:v>
      </x:c>
      <x:c r="B191" s="25" t="n">
        <x:v>10000</x:v>
      </x:c>
      <x:c r="C191" s="25" t="n">
        <x:v>6359.724239599367</x:v>
      </x:c>
      <x:c r="D191" s="25" t="n">
        <x:v>6486.439612374531</x:v>
      </x:c>
      <x:c r="E191" s="25" t="n">
        <x:v>480297873.26294786</x:v>
      </x:c>
      <x:c r="F191" s="25" t="n">
        <x:v>48029787.326294795</x:v>
      </x:c>
      <x:c r="G191" s="25" t="n">
        <x:v>8692566.175992368</x:v>
      </x:c>
      <x:c r="H191" s="25" t="n">
        <x:v>324321.9806187265</x:v>
      </x:c>
      <x:c r="I191" s="25" t="n">
        <x:v>0</x:v>
      </x:c>
      <x:c r="J191" s="25" t="n">
        <x:v>39012899.169683695</x:v>
      </x:c>
      <x:c r="K191" s="30" t="n">
        <x:v>0.018098281628728893</x:v>
      </x:c>
      <x:c r="L191" s="25" t="n">
        <x:v>8122646.6618821295</x:v>
      </x:c>
      <x:c r="M191" s="25" t="n">
        <x:v>0.6</x:v>
      </x:c>
      <x:c r="N191" s="25" t="n">
        <x:v>0.5</x:v>
      </x:c>
      <x:c r="O191" s="25" t="n">
        <x:v>0.8</x:v>
      </x:c>
      <x:c r="P191" s="30" t="n">
        <x:v>0.10000000000000002</x:v>
      </x:c>
      <x:c r="Q191" s="25" t="n">
        <x:v>39012899.169683695</x:v>
      </x:c>
      <x:c r="R191" s="25" t="n">
        <x:v>0</x:v>
      </x:c>
    </x:row>
    <x:row r="192" ht="19" customHeight="1">
      <x:c r="A192" s="30" t="str">
        <x:v>A_conservative</x:v>
      </x:c>
      <x:c r="B192" s="25" t="n">
        <x:v>10000</x:v>
      </x:c>
      <x:c r="C192" s="25" t="n">
        <x:v>6939.81832766059</x:v>
      </x:c>
      <x:c r="D192" s="25" t="n">
        <x:v>2479.2420924837947</x:v>
      </x:c>
      <x:c r="E192" s="25" t="n">
        <x:v>634480022.5464479</x:v>
      </x:c>
      <x:c r="F192" s="25" t="n">
        <x:v>63448002.254644796</x:v>
      </x:c>
      <x:c r="G192" s="25" t="n">
        <x:v>8212717.063758753</x:v>
      </x:c>
      <x:c r="H192" s="25" t="n">
        <x:v>123962.10462418974</x:v>
      </x:c>
      <x:c r="I192" s="25" t="n">
        <x:v>50000</x:v>
      </x:c>
      <x:c r="J192" s="25" t="n">
        <x:v>55061323.08626185</x:v>
      </x:c>
      <x:c r="K192" s="30" t="n">
        <x:v>0.01294401206013942</x:v>
      </x:c>
      <x:c r="L192" s="25" t="n">
        <x:v>8678180.735348688</x:v>
      </x:c>
      <x:c r="M192" s="25" t="n">
        <x:v>0.6</x:v>
      </x:c>
      <x:c r="N192" s="25" t="n">
        <x:v>0.5</x:v>
      </x:c>
      <x:c r="O192" s="25" t="n">
        <x:v>0.8</x:v>
      </x:c>
      <x:c r="P192" s="30" t="n">
        <x:v>0.10000000000000002</x:v>
      </x:c>
      <x:c r="Q192" s="25" t="n">
        <x:v>39012899.169683695</x:v>
      </x:c>
      <x:c r="R192" s="25" t="n">
        <x:v>16048423.916578159</x:v>
      </x:c>
    </x:row>
    <x:row r="193" ht="19" customHeight="1">
      <x:c r="A193" s="30" t="str">
        <x:v>B_balanced</x:v>
      </x:c>
      <x:c r="B193" s="25" t="n">
        <x:v>10000</x:v>
      </x:c>
      <x:c r="C193" s="25" t="n">
        <x:v>8148.372970277712</x:v>
      </x:c>
      <x:c r="D193" s="25" t="n">
        <x:v>1484.4884774643917</x:v>
      </x:c>
      <x:c r="E193" s="25" t="n">
        <x:v>779209573.5686258</x:v>
      </x:c>
      <x:c r="F193" s="25" t="n">
        <x:v>77920957.35686259</x:v>
      </x:c>
      <x:c r="G193" s="25" t="n">
        <x:v>12137359.897673814</x:v>
      </x:c>
      <x:c r="H193" s="25" t="n">
        <x:v>74224.42387321958</x:v>
      </x:c>
      <x:c r="I193" s="25" t="n">
        <x:v>50000</x:v>
      </x:c>
      <x:c r="J193" s="25" t="n">
        <x:v>65659373.03531556</x:v>
      </x:c>
      <x:c r="K193" s="30" t="n">
        <x:v>0.015576502534596828</x:v>
      </x:c>
      <x:c r="L193" s="25" t="n">
        <x:v>8426407.382882709</x:v>
      </x:c>
      <x:c r="M193" s="25" t="n">
        <x:v>0.6</x:v>
      </x:c>
      <x:c r="N193" s="25" t="n">
        <x:v>0.5</x:v>
      </x:c>
      <x:c r="O193" s="25" t="n">
        <x:v>0.8</x:v>
      </x:c>
      <x:c r="P193" s="30" t="n">
        <x:v>0.10000000000000002</x:v>
      </x:c>
      <x:c r="Q193" s="25" t="n">
        <x:v>39012899.169683695</x:v>
      </x:c>
      <x:c r="R193" s="25" t="n">
        <x:v>26646473.865631863</x:v>
      </x:c>
    </x:row>
    <x:row r="194" ht="19" customHeight="1">
      <x:c r="A194" s="30" t="str">
        <x:v>surrogate_rules</x:v>
      </x:c>
      <x:c r="B194" s="25" t="n">
        <x:v>10000</x:v>
      </x:c>
      <x:c r="C194" s="25" t="n">
        <x:v>3765.1483946495546</x:v>
      </x:c>
      <x:c r="D194" s="25" t="n">
        <x:v>6486.439612374531</x:v>
      </x:c>
      <x:c r="E194" s="25" t="n">
        <x:v>298677564.11646104</x:v>
      </x:c>
      <x:c r="F194" s="25" t="n">
        <x:v>11947102.56465844</x:v>
      </x:c>
      <x:c r="G194" s="25" t="n">
        <x:v>10113642.76887723</x:v>
      </x:c>
      <x:c r="H194" s="25" t="n">
        <x:v>324321.9806187265</x:v>
      </x:c>
      <x:c r="I194" s="25" t="n">
        <x:v>0</x:v>
      </x:c>
      <x:c r="J194" s="25" t="n">
        <x:v>1509137.8151624836</x:v>
      </x:c>
      <x:c r="K194" s="30" t="n">
        <x:v>0.033861407698281935</x:v>
      </x:c>
      <x:c r="L194" s="25" t="n">
        <x:v>505273.2432805154</x:v>
      </x:c>
      <x:c r="M194" s="25" t="n">
        <x:v>0.6</x:v>
      </x:c>
      <x:c r="N194" s="25" t="n">
        <x:v>1</x:v>
      </x:c>
      <x:c r="O194" s="25" t="n">
        <x:v>0.4</x:v>
      </x:c>
      <x:c r="P194" s="30" t="n">
        <x:v>0.039999999999999994</x:v>
      </x:c>
      <x:c r="Q194" s="25" t="n">
        <x:v>1509137.8151624836</x:v>
      </x:c>
      <x:c r="R194" s="25" t="n">
        <x:v>0</x:v>
      </x:c>
    </x:row>
    <x:row r="195" ht="19" customHeight="1">
      <x:c r="A195" s="30" t="str">
        <x:v>A_conservative</x:v>
      </x:c>
      <x:c r="B195" s="25" t="n">
        <x:v>10000</x:v>
      </x:c>
      <x:c r="C195" s="25" t="n">
        <x:v>5948.121490667072</x:v>
      </x:c>
      <x:c r="D195" s="25" t="n">
        <x:v>2479.2420924837947</x:v>
      </x:c>
      <x:c r="E195" s="25" t="n">
        <x:v>565061243.9569017</x:v>
      </x:c>
      <x:c r="F195" s="25" t="n">
        <x:v>22602449.758276064</x:v>
      </x:c>
      <x:c r="G195" s="25" t="n">
        <x:v>13162095.952479025</x:v>
      </x:c>
      <x:c r="H195" s="25" t="n">
        <x:v>123962.10462418974</x:v>
      </x:c>
      <x:c r="I195" s="25" t="n">
        <x:v>50000</x:v>
      </x:c>
      <x:c r="J195" s="25" t="n">
        <x:v>9266391.70117285</x:v>
      </x:c>
      <x:c r="K195" s="30" t="n">
        <x:v>0.02329322014780211</x:v>
      </x:c>
      <x:c r="L195" s="25" t="n">
        <x:v>1639891.5693251148</x:v>
      </x:c>
      <x:c r="M195" s="25" t="n">
        <x:v>0.6</x:v>
      </x:c>
      <x:c r="N195" s="25" t="n">
        <x:v>1</x:v>
      </x:c>
      <x:c r="O195" s="25" t="n">
        <x:v>0.4</x:v>
      </x:c>
      <x:c r="P195" s="30" t="n">
        <x:v>0.039999999999999994</x:v>
      </x:c>
      <x:c r="Q195" s="25" t="n">
        <x:v>1509137.8151624836</x:v>
      </x:c>
      <x:c r="R195" s="25" t="n">
        <x:v>7757253.886010366</x:v>
      </x:c>
    </x:row>
    <x:row r="196" ht="19" customHeight="1">
      <x:c r="A196" s="30" t="str">
        <x:v>B_balanced</x:v>
      </x:c>
      <x:c r="B196" s="25" t="n">
        <x:v>10000</x:v>
      </x:c>
      <x:c r="C196" s="25" t="n">
        <x:v>7554.577579291957</x:v>
      </x:c>
      <x:c r="D196" s="25" t="n">
        <x:v>1484.4884774643917</x:v>
      </x:c>
      <x:c r="E196" s="25" t="n">
        <x:v>737643896.1996229</x:v>
      </x:c>
      <x:c r="F196" s="25" t="n">
        <x:v>29505755.84798491</x:v>
      </x:c>
      <x:c r="G196" s="25" t="n">
        <x:v>21470288.55117393</x:v>
      </x:c>
      <x:c r="H196" s="25" t="n">
        <x:v>74224.42387321958</x:v>
      </x:c>
      <x:c r="I196" s="25" t="n">
        <x:v>50000</x:v>
      </x:c>
      <x:c r="J196" s="25" t="n">
        <x:v>7911242.872937761</x:v>
      </x:c>
      <x:c r="K196" s="30" t="n">
        <x:v>0.02910657657684134</x:v>
      </x:c>
      <x:c r="L196" s="25" t="n">
        <x:v>1072501.6384866557</x:v>
      </x:c>
      <x:c r="M196" s="25" t="n">
        <x:v>0.6</x:v>
      </x:c>
      <x:c r="N196" s="25" t="n">
        <x:v>1</x:v>
      </x:c>
      <x:c r="O196" s="25" t="n">
        <x:v>0.4</x:v>
      </x:c>
      <x:c r="P196" s="30" t="n">
        <x:v>0.039999999999999994</x:v>
      </x:c>
      <x:c r="Q196" s="25" t="n">
        <x:v>1509137.8151624836</x:v>
      </x:c>
      <x:c r="R196" s="25" t="n">
        <x:v>6402105.057775278</x:v>
      </x:c>
    </x:row>
    <x:row r="197" ht="19" customHeight="1">
      <x:c r="A197" s="30" t="str">
        <x:v>surrogate_rules</x:v>
      </x:c>
      <x:c r="B197" s="25" t="n">
        <x:v>10000</x:v>
      </x:c>
      <x:c r="C197" s="25" t="n">
        <x:v>3765.1483946495546</x:v>
      </x:c>
      <x:c r="D197" s="25" t="n">
        <x:v>6486.439612374531</x:v>
      </x:c>
      <x:c r="E197" s="25" t="n">
        <x:v>298677564.11646104</x:v>
      </x:c>
      <x:c r="F197" s="25" t="n">
        <x:v>20907429.488152273</x:v>
      </x:c>
      <x:c r="G197" s="25" t="n">
        <x:v>10113642.76887723</x:v>
      </x:c>
      <x:c r="H197" s="25" t="n">
        <x:v>324321.9806187265</x:v>
      </x:c>
      <x:c r="I197" s="25" t="n">
        <x:v>0</x:v>
      </x:c>
      <x:c r="J197" s="25" t="n">
        <x:v>10469464.738656316</x:v>
      </x:c>
      <x:c r="K197" s="30" t="n">
        <x:v>0.033861407698281935</x:v>
      </x:c>
      <x:c r="L197" s="25" t="n">
        <x:v>3505273.2432805155</x:v>
      </x:c>
      <x:c r="M197" s="25" t="n">
        <x:v>0.6</x:v>
      </x:c>
      <x:c r="N197" s="25" t="n">
        <x:v>1</x:v>
      </x:c>
      <x:c r="O197" s="25" t="n">
        <x:v>0.4</x:v>
      </x:c>
      <x:c r="P197" s="30" t="n">
        <x:v>0.07</x:v>
      </x:c>
      <x:c r="Q197" s="25" t="n">
        <x:v>10469464.738656316</x:v>
      </x:c>
      <x:c r="R197" s="25" t="n">
        <x:v>0</x:v>
      </x:c>
    </x:row>
    <x:row r="198" ht="19" customHeight="1">
      <x:c r="A198" s="30" t="str">
        <x:v>A_conservative</x:v>
      </x:c>
      <x:c r="B198" s="25" t="n">
        <x:v>10000</x:v>
      </x:c>
      <x:c r="C198" s="25" t="n">
        <x:v>5948.121490667072</x:v>
      </x:c>
      <x:c r="D198" s="25" t="n">
        <x:v>2479.2420924837947</x:v>
      </x:c>
      <x:c r="E198" s="25" t="n">
        <x:v>565061243.9569017</x:v>
      </x:c>
      <x:c r="F198" s="25" t="n">
        <x:v>39554287.076983124</x:v>
      </x:c>
      <x:c r="G198" s="25" t="n">
        <x:v>13162095.952479025</x:v>
      </x:c>
      <x:c r="H198" s="25" t="n">
        <x:v>123962.10462418974</x:v>
      </x:c>
      <x:c r="I198" s="25" t="n">
        <x:v>50000</x:v>
      </x:c>
      <x:c r="J198" s="25" t="n">
        <x:v>26218229.019879907</x:v>
      </x:c>
      <x:c r="K198" s="30" t="n">
        <x:v>0.02329322014780211</x:v>
      </x:c>
      <x:c r="L198" s="25" t="n">
        <x:v>4639891.569325116</x:v>
      </x:c>
      <x:c r="M198" s="25" t="n">
        <x:v>0.6</x:v>
      </x:c>
      <x:c r="N198" s="25" t="n">
        <x:v>1</x:v>
      </x:c>
      <x:c r="O198" s="25" t="n">
        <x:v>0.4</x:v>
      </x:c>
      <x:c r="P198" s="30" t="n">
        <x:v>0.07</x:v>
      </x:c>
      <x:c r="Q198" s="25" t="n">
        <x:v>10469464.738656316</x:v>
      </x:c>
      <x:c r="R198" s="25" t="n">
        <x:v>15748764.281223591</x:v>
      </x:c>
    </x:row>
    <x:row r="199" ht="19" customHeight="1">
      <x:c r="A199" s="30" t="str">
        <x:v>B_balanced</x:v>
      </x:c>
      <x:c r="B199" s="25" t="n">
        <x:v>10000</x:v>
      </x:c>
      <x:c r="C199" s="25" t="n">
        <x:v>7554.577579291957</x:v>
      </x:c>
      <x:c r="D199" s="25" t="n">
        <x:v>1484.4884774643917</x:v>
      </x:c>
      <x:c r="E199" s="25" t="n">
        <x:v>737643896.1996229</x:v>
      </x:c>
      <x:c r="F199" s="25" t="n">
        <x:v>51635072.73397361</x:v>
      </x:c>
      <x:c r="G199" s="25" t="n">
        <x:v>21470288.55117393</x:v>
      </x:c>
      <x:c r="H199" s="25" t="n">
        <x:v>74224.42387321958</x:v>
      </x:c>
      <x:c r="I199" s="25" t="n">
        <x:v>50000</x:v>
      </x:c>
      <x:c r="J199" s="25" t="n">
        <x:v>30040559.75892646</x:v>
      </x:c>
      <x:c r="K199" s="30" t="n">
        <x:v>0.02910657657684134</x:v>
      </x:c>
      <x:c r="L199" s="25" t="n">
        <x:v>4072501.6384866573</x:v>
      </x:c>
      <x:c r="M199" s="25" t="n">
        <x:v>0.6</x:v>
      </x:c>
      <x:c r="N199" s="25" t="n">
        <x:v>1</x:v>
      </x:c>
      <x:c r="O199" s="25" t="n">
        <x:v>0.4</x:v>
      </x:c>
      <x:c r="P199" s="30" t="n">
        <x:v>0.07</x:v>
      </x:c>
      <x:c r="Q199" s="25" t="n">
        <x:v>10469464.738656316</x:v>
      </x:c>
      <x:c r="R199" s="25" t="n">
        <x:v>19571095.020270143</x:v>
      </x:c>
    </x:row>
    <x:row r="200" ht="19" customHeight="1">
      <x:c r="A200" s="30" t="str">
        <x:v>surrogate_rules</x:v>
      </x:c>
      <x:c r="B200" s="25" t="n">
        <x:v>10000</x:v>
      </x:c>
      <x:c r="C200" s="25" t="n">
        <x:v>3765.1483946495546</x:v>
      </x:c>
      <x:c r="D200" s="25" t="n">
        <x:v>6486.439612374531</x:v>
      </x:c>
      <x:c r="E200" s="25" t="n">
        <x:v>298677564.11646104</x:v>
      </x:c>
      <x:c r="F200" s="25" t="n">
        <x:v>29867756.41164611</x:v>
      </x:c>
      <x:c r="G200" s="25" t="n">
        <x:v>10113642.76887723</x:v>
      </x:c>
      <x:c r="H200" s="25" t="n">
        <x:v>324321.9806187265</x:v>
      </x:c>
      <x:c r="I200" s="25" t="n">
        <x:v>0</x:v>
      </x:c>
      <x:c r="J200" s="25" t="n">
        <x:v>19429791.662150152</x:v>
      </x:c>
      <x:c r="K200" s="30" t="n">
        <x:v>0.033861407698281935</x:v>
      </x:c>
      <x:c r="L200" s="25" t="n">
        <x:v>6505273.243280517</x:v>
      </x:c>
      <x:c r="M200" s="25" t="n">
        <x:v>0.6</x:v>
      </x:c>
      <x:c r="N200" s="25" t="n">
        <x:v>1</x:v>
      </x:c>
      <x:c r="O200" s="25" t="n">
        <x:v>0.4</x:v>
      </x:c>
      <x:c r="P200" s="30" t="n">
        <x:v>0.10000000000000002</x:v>
      </x:c>
      <x:c r="Q200" s="25" t="n">
        <x:v>19429791.662150152</x:v>
      </x:c>
      <x:c r="R200" s="25" t="n">
        <x:v>0</x:v>
      </x:c>
    </x:row>
    <x:row r="201" ht="19" customHeight="1">
      <x:c r="A201" s="30" t="str">
        <x:v>A_conservative</x:v>
      </x:c>
      <x:c r="B201" s="25" t="n">
        <x:v>10000</x:v>
      </x:c>
      <x:c r="C201" s="25" t="n">
        <x:v>5948.121490667072</x:v>
      </x:c>
      <x:c r="D201" s="25" t="n">
        <x:v>2479.2420924837947</x:v>
      </x:c>
      <x:c r="E201" s="25" t="n">
        <x:v>565061243.9569017</x:v>
      </x:c>
      <x:c r="F201" s="25" t="n">
        <x:v>56506124.39569018</x:v>
      </x:c>
      <x:c r="G201" s="25" t="n">
        <x:v>13162095.952479025</x:v>
      </x:c>
      <x:c r="H201" s="25" t="n">
        <x:v>123962.10462418974</x:v>
      </x:c>
      <x:c r="I201" s="25" t="n">
        <x:v>50000</x:v>
      </x:c>
      <x:c r="J201" s="25" t="n">
        <x:v>43170066.33858696</x:v>
      </x:c>
      <x:c r="K201" s="30" t="n">
        <x:v>0.02329322014780211</x:v>
      </x:c>
      <x:c r="L201" s="25" t="n">
        <x:v>7639891.569325117</x:v>
      </x:c>
      <x:c r="M201" s="25" t="n">
        <x:v>0.6</x:v>
      </x:c>
      <x:c r="N201" s="25" t="n">
        <x:v>1</x:v>
      </x:c>
      <x:c r="O201" s="25" t="n">
        <x:v>0.4</x:v>
      </x:c>
      <x:c r="P201" s="30" t="n">
        <x:v>0.10000000000000002</x:v>
      </x:c>
      <x:c r="Q201" s="25" t="n">
        <x:v>19429791.662150152</x:v>
      </x:c>
      <x:c r="R201" s="25" t="n">
        <x:v>23740274.67643681</x:v>
      </x:c>
    </x:row>
    <x:row r="202" ht="19" customHeight="1">
      <x:c r="A202" s="30" t="str">
        <x:v>B_balanced</x:v>
      </x:c>
      <x:c r="B202" s="25" t="n">
        <x:v>10000</x:v>
      </x:c>
      <x:c r="C202" s="25" t="n">
        <x:v>7554.577579291957</x:v>
      </x:c>
      <x:c r="D202" s="25" t="n">
        <x:v>1484.4884774643917</x:v>
      </x:c>
      <x:c r="E202" s="25" t="n">
        <x:v>737643896.1996229</x:v>
      </x:c>
      <x:c r="F202" s="25" t="n">
        <x:v>73764389.6199623</x:v>
      </x:c>
      <x:c r="G202" s="25" t="n">
        <x:v>21470288.55117393</x:v>
      </x:c>
      <x:c r="H202" s="25" t="n">
        <x:v>74224.42387321958</x:v>
      </x:c>
      <x:c r="I202" s="25" t="n">
        <x:v>50000</x:v>
      </x:c>
      <x:c r="J202" s="25" t="n">
        <x:v>52169876.64491516</x:v>
      </x:c>
      <x:c r="K202" s="30" t="n">
        <x:v>0.02910657657684134</x:v>
      </x:c>
      <x:c r="L202" s="25" t="n">
        <x:v>7072501.63848666</x:v>
      </x:c>
      <x:c r="M202" s="25" t="n">
        <x:v>0.6</x:v>
      </x:c>
      <x:c r="N202" s="25" t="n">
        <x:v>1</x:v>
      </x:c>
      <x:c r="O202" s="25" t="n">
        <x:v>0.4</x:v>
      </x:c>
      <x:c r="P202" s="30" t="n">
        <x:v>0.10000000000000002</x:v>
      </x:c>
      <x:c r="Q202" s="25" t="n">
        <x:v>19429791.662150152</x:v>
      </x:c>
      <x:c r="R202" s="25" t="n">
        <x:v>32740084.98276501</x:v>
      </x:c>
    </x:row>
    <x:row r="203" ht="19" customHeight="1">
      <x:c r="A203" s="30" t="str">
        <x:v>surrogate_rules</x:v>
      </x:c>
      <x:c r="B203" s="25" t="n">
        <x:v>10000</x:v>
      </x:c>
      <x:c r="C203" s="25" t="n">
        <x:v>5062.43631712446</x:v>
      </x:c>
      <x:c r="D203" s="25" t="n">
        <x:v>6486.439612374531</x:v>
      </x:c>
      <x:c r="E203" s="25" t="n">
        <x:v>389487718.6897046</x:v>
      </x:c>
      <x:c r="F203" s="25" t="n">
        <x:v>15579508.747588182</x:v>
      </x:c>
      <x:c r="G203" s="25" t="n">
        <x:v>13749387.560430983</x:v>
      </x:c>
      <x:c r="H203" s="25" t="n">
        <x:v>324321.9806187265</x:v>
      </x:c>
      <x:c r="I203" s="25" t="n">
        <x:v>0</x:v>
      </x:c>
      <x:c r="J203" s="25" t="n">
        <x:v>1505799.2065384723</x:v>
      </x:c>
      <x:c r="K203" s="30" t="n">
        <x:v>0.03530120951357849</x:v>
      </x:c>
      <x:c r="L203" s="25" t="n">
        <x:v>386610.18930306914</x:v>
      </x:c>
      <x:c r="M203" s="25" t="n">
        <x:v>0.6</x:v>
      </x:c>
      <x:c r="N203" s="25" t="n">
        <x:v>1</x:v>
      </x:c>
      <x:c r="O203" s="25" t="n">
        <x:v>0.6</x:v>
      </x:c>
      <x:c r="P203" s="30" t="n">
        <x:v>0.039999999999999994</x:v>
      </x:c>
      <x:c r="Q203" s="25" t="n">
        <x:v>1505799.2065384723</x:v>
      </x:c>
      <x:c r="R203" s="25" t="n">
        <x:v>0</x:v>
      </x:c>
    </x:row>
    <x:row r="204" ht="19" customHeight="1">
      <x:c r="A204" s="30" t="str">
        <x:v>A_conservative</x:v>
      </x:c>
      <x:c r="B204" s="25" t="n">
        <x:v>10000</x:v>
      </x:c>
      <x:c r="C204" s="25" t="n">
        <x:v>6443.96990916383</x:v>
      </x:c>
      <x:c r="D204" s="25" t="n">
        <x:v>2479.2420924837947</x:v>
      </x:c>
      <x:c r="E204" s="25" t="n">
        <x:v>599770633.2516748</x:v>
      </x:c>
      <x:c r="F204" s="25" t="n">
        <x:v>23990825.330066986</x:v>
      </x:c>
      <x:c r="G204" s="25" t="n">
        <x:v>14793765.039998265</x:v>
      </x:c>
      <x:c r="H204" s="25" t="n">
        <x:v>123962.10462418974</x:v>
      </x:c>
      <x:c r="I204" s="25" t="n">
        <x:v>50000</x:v>
      </x:c>
      <x:c r="J204" s="25" t="n">
        <x:v>9023098.185444532</x:v>
      </x:c>
      <x:c r="K204" s="30" t="n">
        <x:v>0.0246657042206175</x:v>
      </x:c>
      <x:c r="L204" s="25" t="n">
        <x:v>1504424.8059504898</x:v>
      </x:c>
      <x:c r="M204" s="25" t="n">
        <x:v>0.6</x:v>
      </x:c>
      <x:c r="N204" s="25" t="n">
        <x:v>1</x:v>
      </x:c>
      <x:c r="O204" s="25" t="n">
        <x:v>0.6</x:v>
      </x:c>
      <x:c r="P204" s="30" t="n">
        <x:v>0.039999999999999994</x:v>
      </x:c>
      <x:c r="Q204" s="25" t="n">
        <x:v>1505799.2065384723</x:v>
      </x:c>
      <x:c r="R204" s="25" t="n">
        <x:v>7517298.97890606</x:v>
      </x:c>
    </x:row>
    <x:row r="205" ht="19" customHeight="1">
      <x:c r="A205" s="30" t="str">
        <x:v>B_balanced</x:v>
      </x:c>
      <x:c r="B205" s="25" t="n">
        <x:v>10000</x:v>
      </x:c>
      <x:c r="C205" s="25" t="n">
        <x:v>7851.4752747848315</x:v>
      </x:c>
      <x:c r="D205" s="25" t="n">
        <x:v>1484.4884774643917</x:v>
      </x:c>
      <x:c r="E205" s="25" t="n">
        <x:v>758426734.8841242</x:v>
      </x:c>
      <x:c r="F205" s="25" t="n">
        <x:v>30337069.395364963</x:v>
      </x:c>
      <x:c r="G205" s="25" t="n">
        <x:v>22872504.173260782</x:v>
      </x:c>
      <x:c r="H205" s="25" t="n">
        <x:v>74224.42387321958</x:v>
      </x:c>
      <x:c r="I205" s="25" t="n">
        <x:v>50000</x:v>
      </x:c>
      <x:c r="J205" s="25" t="n">
        <x:v>7340340.798230961</x:v>
      </x:c>
      <x:c r="K205" s="30" t="n">
        <x:v>0.030157829518965132</x:v>
      </x:c>
      <x:c r="L205" s="25" t="n">
        <x:v>967837.8227730133</x:v>
      </x:c>
      <x:c r="M205" s="25" t="n">
        <x:v>0.6</x:v>
      </x:c>
      <x:c r="N205" s="25" t="n">
        <x:v>1</x:v>
      </x:c>
      <x:c r="O205" s="25" t="n">
        <x:v>0.6</x:v>
      </x:c>
      <x:c r="P205" s="30" t="n">
        <x:v>0.039999999999999994</x:v>
      </x:c>
      <x:c r="Q205" s="25" t="n">
        <x:v>1505799.2065384723</x:v>
      </x:c>
      <x:c r="R205" s="25" t="n">
        <x:v>5834541.591692489</x:v>
      </x:c>
    </x:row>
    <x:row r="206" ht="19" customHeight="1">
      <x:c r="A206" s="30" t="str">
        <x:v>surrogate_rules</x:v>
      </x:c>
      <x:c r="B206" s="25" t="n">
        <x:v>10000</x:v>
      </x:c>
      <x:c r="C206" s="25" t="n">
        <x:v>5062.43631712446</x:v>
      </x:c>
      <x:c r="D206" s="25" t="n">
        <x:v>6486.439612374531</x:v>
      </x:c>
      <x:c r="E206" s="25" t="n">
        <x:v>389487718.6897046</x:v>
      </x:c>
      <x:c r="F206" s="25" t="n">
        <x:v>27264140.308279324</x:v>
      </x:c>
      <x:c r="G206" s="25" t="n">
        <x:v>13749387.560430983</x:v>
      </x:c>
      <x:c r="H206" s="25" t="n">
        <x:v>324321.9806187265</x:v>
      </x:c>
      <x:c r="I206" s="25" t="n">
        <x:v>0</x:v>
      </x:c>
      <x:c r="J206" s="25" t="n">
        <x:v>13190430.767229615</x:v>
      </x:c>
      <x:c r="K206" s="30" t="n">
        <x:v>0.03530120951357849</x:v>
      </x:c>
      <x:c r="L206" s="25" t="n">
        <x:v>3386610.18930307</x:v>
      </x:c>
      <x:c r="M206" s="25" t="n">
        <x:v>0.6</x:v>
      </x:c>
      <x:c r="N206" s="25" t="n">
        <x:v>1</x:v>
      </x:c>
      <x:c r="O206" s="25" t="n">
        <x:v>0.6</x:v>
      </x:c>
      <x:c r="P206" s="30" t="n">
        <x:v>0.07</x:v>
      </x:c>
      <x:c r="Q206" s="25" t="n">
        <x:v>13190430.767229615</x:v>
      </x:c>
      <x:c r="R206" s="25" t="n">
        <x:v>0</x:v>
      </x:c>
    </x:row>
    <x:row r="207" ht="19" customHeight="1">
      <x:c r="A207" s="30" t="str">
        <x:v>A_conservative</x:v>
      </x:c>
      <x:c r="B207" s="25" t="n">
        <x:v>10000</x:v>
      </x:c>
      <x:c r="C207" s="25" t="n">
        <x:v>6443.96990916383</x:v>
      </x:c>
      <x:c r="D207" s="25" t="n">
        <x:v>2479.2420924837947</x:v>
      </x:c>
      <x:c r="E207" s="25" t="n">
        <x:v>599770633.2516748</x:v>
      </x:c>
      <x:c r="F207" s="25" t="n">
        <x:v>41983944.327617235</x:v>
      </x:c>
      <x:c r="G207" s="25" t="n">
        <x:v>14793765.039998265</x:v>
      </x:c>
      <x:c r="H207" s="25" t="n">
        <x:v>123962.10462418974</x:v>
      </x:c>
      <x:c r="I207" s="25" t="n">
        <x:v>50000</x:v>
      </x:c>
      <x:c r="J207" s="25" t="n">
        <x:v>27016217.182994783</x:v>
      </x:c>
      <x:c r="K207" s="30" t="n">
        <x:v>0.0246657042206175</x:v>
      </x:c>
      <x:c r="L207" s="25" t="n">
        <x:v>4504424.805950491</x:v>
      </x:c>
      <x:c r="M207" s="25" t="n">
        <x:v>0.6</x:v>
      </x:c>
      <x:c r="N207" s="25" t="n">
        <x:v>1</x:v>
      </x:c>
      <x:c r="O207" s="25" t="n">
        <x:v>0.6</x:v>
      </x:c>
      <x:c r="P207" s="30" t="n">
        <x:v>0.07</x:v>
      </x:c>
      <x:c r="Q207" s="25" t="n">
        <x:v>13190430.767229615</x:v>
      </x:c>
      <x:c r="R207" s="25" t="n">
        <x:v>13825786.415765168</x:v>
      </x:c>
    </x:row>
    <x:row r="208" ht="19" customHeight="1">
      <x:c r="A208" s="30" t="str">
        <x:v>B_balanced</x:v>
      </x:c>
      <x:c r="B208" s="25" t="n">
        <x:v>10000</x:v>
      </x:c>
      <x:c r="C208" s="25" t="n">
        <x:v>7851.4752747848315</x:v>
      </x:c>
      <x:c r="D208" s="25" t="n">
        <x:v>1484.4884774643917</x:v>
      </x:c>
      <x:c r="E208" s="25" t="n">
        <x:v>758426734.8841242</x:v>
      </x:c>
      <x:c r="F208" s="25" t="n">
        <x:v>53089871.4418887</x:v>
      </x:c>
      <x:c r="G208" s="25" t="n">
        <x:v>22872504.173260782</x:v>
      </x:c>
      <x:c r="H208" s="25" t="n">
        <x:v>74224.42387321958</x:v>
      </x:c>
      <x:c r="I208" s="25" t="n">
        <x:v>50000</x:v>
      </x:c>
      <x:c r="J208" s="25" t="n">
        <x:v>30093142.844754696</x:v>
      </x:c>
      <x:c r="K208" s="30" t="n">
        <x:v>0.030157829518965132</x:v>
      </x:c>
      <x:c r="L208" s="25" t="n">
        <x:v>3967837.8227730147</x:v>
      </x:c>
      <x:c r="M208" s="25" t="n">
        <x:v>0.6</x:v>
      </x:c>
      <x:c r="N208" s="25" t="n">
        <x:v>1</x:v>
      </x:c>
      <x:c r="O208" s="25" t="n">
        <x:v>0.6</x:v>
      </x:c>
      <x:c r="P208" s="30" t="n">
        <x:v>0.07</x:v>
      </x:c>
      <x:c r="Q208" s="25" t="n">
        <x:v>13190430.767229615</x:v>
      </x:c>
      <x:c r="R208" s="25" t="n">
        <x:v>16902712.07752508</x:v>
      </x:c>
    </x:row>
    <x:row r="209" ht="19" customHeight="1">
      <x:c r="A209" s="30" t="str">
        <x:v>surrogate_rules</x:v>
      </x:c>
      <x:c r="B209" s="25" t="n">
        <x:v>10000</x:v>
      </x:c>
      <x:c r="C209" s="25" t="n">
        <x:v>5062.43631712446</x:v>
      </x:c>
      <x:c r="D209" s="25" t="n">
        <x:v>6486.439612374531</x:v>
      </x:c>
      <x:c r="E209" s="25" t="n">
        <x:v>389487718.6897046</x:v>
      </x:c>
      <x:c r="F209" s="25" t="n">
        <x:v>38948771.86897047</x:v>
      </x:c>
      <x:c r="G209" s="25" t="n">
        <x:v>13749387.560430983</x:v>
      </x:c>
      <x:c r="H209" s="25" t="n">
        <x:v>324321.9806187265</x:v>
      </x:c>
      <x:c r="I209" s="25" t="n">
        <x:v>0</x:v>
      </x:c>
      <x:c r="J209" s="25" t="n">
        <x:v>24875062.32792076</x:v>
      </x:c>
      <x:c r="K209" s="30" t="n">
        <x:v>0.03530120951357849</x:v>
      </x:c>
      <x:c r="L209" s="25" t="n">
        <x:v>6386610.189303073</x:v>
      </x:c>
      <x:c r="M209" s="25" t="n">
        <x:v>0.6</x:v>
      </x:c>
      <x:c r="N209" s="25" t="n">
        <x:v>1</x:v>
      </x:c>
      <x:c r="O209" s="25" t="n">
        <x:v>0.6</x:v>
      </x:c>
      <x:c r="P209" s="30" t="n">
        <x:v>0.10000000000000002</x:v>
      </x:c>
      <x:c r="Q209" s="25" t="n">
        <x:v>24875062.32792076</x:v>
      </x:c>
      <x:c r="R209" s="25" t="n">
        <x:v>0</x:v>
      </x:c>
    </x:row>
    <x:row r="210" ht="19" customHeight="1">
      <x:c r="A210" s="30" t="str">
        <x:v>A_conservative</x:v>
      </x:c>
      <x:c r="B210" s="25" t="n">
        <x:v>10000</x:v>
      </x:c>
      <x:c r="C210" s="25" t="n">
        <x:v>6443.96990916383</x:v>
      </x:c>
      <x:c r="D210" s="25" t="n">
        <x:v>2479.2420924837947</x:v>
      </x:c>
      <x:c r="E210" s="25" t="n">
        <x:v>599770633.2516748</x:v>
      </x:c>
      <x:c r="F210" s="25" t="n">
        <x:v>59977063.32516749</x:v>
      </x:c>
      <x:c r="G210" s="25" t="n">
        <x:v>14793765.039998265</x:v>
      </x:c>
      <x:c r="H210" s="25" t="n">
        <x:v>123962.10462418974</x:v>
      </x:c>
      <x:c r="I210" s="25" t="n">
        <x:v>50000</x:v>
      </x:c>
      <x:c r="J210" s="25" t="n">
        <x:v>45009336.18054504</x:v>
      </x:c>
      <x:c r="K210" s="30" t="n">
        <x:v>0.0246657042206175</x:v>
      </x:c>
      <x:c r="L210" s="25" t="n">
        <x:v>7504424.805950494</x:v>
      </x:c>
      <x:c r="M210" s="25" t="n">
        <x:v>0.6</x:v>
      </x:c>
      <x:c r="N210" s="25" t="n">
        <x:v>1</x:v>
      </x:c>
      <x:c r="O210" s="25" t="n">
        <x:v>0.6</x:v>
      </x:c>
      <x:c r="P210" s="30" t="n">
        <x:v>0.10000000000000002</x:v>
      </x:c>
      <x:c r="Q210" s="25" t="n">
        <x:v>24875062.32792076</x:v>
      </x:c>
      <x:c r="R210" s="25" t="n">
        <x:v>20134273.85262428</x:v>
      </x:c>
    </x:row>
    <x:row r="211" ht="19" customHeight="1">
      <x:c r="A211" s="30" t="str">
        <x:v>B_balanced</x:v>
      </x:c>
      <x:c r="B211" s="25" t="n">
        <x:v>10000</x:v>
      </x:c>
      <x:c r="C211" s="25" t="n">
        <x:v>7851.4752747848315</x:v>
      </x:c>
      <x:c r="D211" s="25" t="n">
        <x:v>1484.4884774643917</x:v>
      </x:c>
      <x:c r="E211" s="25" t="n">
        <x:v>758426734.8841242</x:v>
      </x:c>
      <x:c r="F211" s="25" t="n">
        <x:v>75842673.48841242</x:v>
      </x:c>
      <x:c r="G211" s="25" t="n">
        <x:v>22872504.173260782</x:v>
      </x:c>
      <x:c r="H211" s="25" t="n">
        <x:v>74224.42387321958</x:v>
      </x:c>
      <x:c r="I211" s="25" t="n">
        <x:v>50000</x:v>
      </x:c>
      <x:c r="J211" s="25" t="n">
        <x:v>52845944.89127843</x:v>
      </x:c>
      <x:c r="K211" s="30" t="n">
        <x:v>0.030157829518965132</x:v>
      </x:c>
      <x:c r="L211" s="25" t="n">
        <x:v>6967837.822773015</x:v>
      </x:c>
      <x:c r="M211" s="25" t="n">
        <x:v>0.6</x:v>
      </x:c>
      <x:c r="N211" s="25" t="n">
        <x:v>1</x:v>
      </x:c>
      <x:c r="O211" s="25" t="n">
        <x:v>0.6</x:v>
      </x:c>
      <x:c r="P211" s="30" t="n">
        <x:v>0.10000000000000002</x:v>
      </x:c>
      <x:c r="Q211" s="25" t="n">
        <x:v>24875062.32792076</x:v>
      </x:c>
      <x:c r="R211" s="25" t="n">
        <x:v>27970882.56335767</x:v>
      </x:c>
    </x:row>
    <x:row r="212" ht="19" customHeight="1">
      <x:c r="A212" s="30" t="str">
        <x:v>surrogate_rules</x:v>
      </x:c>
      <x:c r="B212" s="25" t="n">
        <x:v>10000</x:v>
      </x:c>
      <x:c r="C212" s="25" t="n">
        <x:v>6359.724239599367</x:v>
      </x:c>
      <x:c r="D212" s="25" t="n">
        <x:v>6486.439612374531</x:v>
      </x:c>
      <x:c r="E212" s="25" t="n">
        <x:v>480297873.26294786</x:v>
      </x:c>
      <x:c r="F212" s="25" t="n">
        <x:v>19211914.930517912</x:v>
      </x:c>
      <x:c r="G212" s="25" t="n">
        <x:v>17385132.351984736</x:v>
      </x:c>
      <x:c r="H212" s="25" t="n">
        <x:v>324321.9806187265</x:v>
      </x:c>
      <x:c r="I212" s="25" t="n">
        <x:v>0</x:v>
      </x:c>
      <x:c r="J212" s="25" t="n">
        <x:v>1502460.5979144499</x:v>
      </x:c>
      <x:c r="K212" s="30" t="n">
        <x:v>0.036196563257457785</x:v>
      </x:c>
      <x:c r="L212" s="25" t="n">
        <x:v>312818.49900923885</x:v>
      </x:c>
      <x:c r="M212" s="25" t="n">
        <x:v>0.6</x:v>
      </x:c>
      <x:c r="N212" s="25" t="n">
        <x:v>1</x:v>
      </x:c>
      <x:c r="O212" s="25" t="n">
        <x:v>0.8</x:v>
      </x:c>
      <x:c r="P212" s="30" t="n">
        <x:v>0.039999999999999994</x:v>
      </x:c>
      <x:c r="Q212" s="25" t="n">
        <x:v>1502460.5979144499</x:v>
      </x:c>
      <x:c r="R212" s="25" t="n">
        <x:v>0</x:v>
      </x:c>
    </x:row>
    <x:row r="213" ht="19" customHeight="1">
      <x:c r="A213" s="30" t="str">
        <x:v>A_conservative</x:v>
      </x:c>
      <x:c r="B213" s="25" t="n">
        <x:v>10000</x:v>
      </x:c>
      <x:c r="C213" s="25" t="n">
        <x:v>6939.81832766059</x:v>
      </x:c>
      <x:c r="D213" s="25" t="n">
        <x:v>2479.2420924837947</x:v>
      </x:c>
      <x:c r="E213" s="25" t="n">
        <x:v>634480022.5464479</x:v>
      </x:c>
      <x:c r="F213" s="25" t="n">
        <x:v>25379200.901857913</x:v>
      </x:c>
      <x:c r="G213" s="25" t="n">
        <x:v>16425434.127517506</x:v>
      </x:c>
      <x:c r="H213" s="25" t="n">
        <x:v>123962.10462418974</x:v>
      </x:c>
      <x:c r="I213" s="25" t="n">
        <x:v>50000</x:v>
      </x:c>
      <x:c r="J213" s="25" t="n">
        <x:v>8779804.669716217</x:v>
      </x:c>
      <x:c r="K213" s="30" t="n">
        <x:v>0.02588802412027884</x:v>
      </x:c>
      <x:c r="L213" s="25" t="n">
        <x:v>1383779.5293347444</x:v>
      </x:c>
      <x:c r="M213" s="25" t="n">
        <x:v>0.6</x:v>
      </x:c>
      <x:c r="N213" s="25" t="n">
        <x:v>1</x:v>
      </x:c>
      <x:c r="O213" s="25" t="n">
        <x:v>0.8</x:v>
      </x:c>
      <x:c r="P213" s="30" t="n">
        <x:v>0.039999999999999994</x:v>
      </x:c>
      <x:c r="Q213" s="25" t="n">
        <x:v>1502460.5979144499</x:v>
      </x:c>
      <x:c r="R213" s="25" t="n">
        <x:v>7277344.071801767</x:v>
      </x:c>
    </x:row>
    <x:row r="214" ht="19" customHeight="1">
      <x:c r="A214" s="30" t="str">
        <x:v>B_balanced</x:v>
      </x:c>
      <x:c r="B214" s="25" t="n">
        <x:v>10000</x:v>
      </x:c>
      <x:c r="C214" s="25" t="n">
        <x:v>8148.372970277712</x:v>
      </x:c>
      <x:c r="D214" s="25" t="n">
        <x:v>1484.4884774643917</x:v>
      </x:c>
      <x:c r="E214" s="25" t="n">
        <x:v>779209573.5686258</x:v>
      </x:c>
      <x:c r="F214" s="25" t="n">
        <x:v>31168382.942745026</x:v>
      </x:c>
      <x:c r="G214" s="25" t="n">
        <x:v>24274719.795347627</x:v>
      </x:c>
      <x:c r="H214" s="25" t="n">
        <x:v>74224.42387321958</x:v>
      </x:c>
      <x:c r="I214" s="25" t="n">
        <x:v>50000</x:v>
      </x:c>
      <x:c r="J214" s="25" t="n">
        <x:v>6769438.723524179</x:v>
      </x:c>
      <x:c r="K214" s="30" t="n">
        <x:v>0.031153005069193655</x:v>
      </x:c>
      <x:c r="L214" s="25" t="n">
        <x:v>868757.1294230239</x:v>
      </x:c>
      <x:c r="M214" s="25" t="n">
        <x:v>0.6</x:v>
      </x:c>
      <x:c r="N214" s="25" t="n">
        <x:v>1</x:v>
      </x:c>
      <x:c r="O214" s="25" t="n">
        <x:v>0.8</x:v>
      </x:c>
      <x:c r="P214" s="30" t="n">
        <x:v>0.039999999999999994</x:v>
      </x:c>
      <x:c r="Q214" s="25" t="n">
        <x:v>1502460.5979144499</x:v>
      </x:c>
      <x:c r="R214" s="25" t="n">
        <x:v>5266978.125609729</x:v>
      </x:c>
    </x:row>
    <x:row r="215" ht="19" customHeight="1">
      <x:c r="A215" s="30" t="str">
        <x:v>surrogate_rules</x:v>
      </x:c>
      <x:c r="B215" s="25" t="n">
        <x:v>10000</x:v>
      </x:c>
      <x:c r="C215" s="25" t="n">
        <x:v>6359.724239599367</x:v>
      </x:c>
      <x:c r="D215" s="25" t="n">
        <x:v>6486.439612374531</x:v>
      </x:c>
      <x:c r="E215" s="25" t="n">
        <x:v>480297873.26294786</x:v>
      </x:c>
      <x:c r="F215" s="25" t="n">
        <x:v>33620851.12840635</x:v>
      </x:c>
      <x:c r="G215" s="25" t="n">
        <x:v>17385132.351984736</x:v>
      </x:c>
      <x:c r="H215" s="25" t="n">
        <x:v>324321.9806187265</x:v>
      </x:c>
      <x:c r="I215" s="25" t="n">
        <x:v>0</x:v>
      </x:c>
      <x:c r="J215" s="25" t="n">
        <x:v>15911396.795802891</x:v>
      </x:c>
      <x:c r="K215" s="30" t="n">
        <x:v>0.036196563257457785</x:v>
      </x:c>
      <x:c r="L215" s="25" t="n">
        <x:v>3312818.4990092404</x:v>
      </x:c>
      <x:c r="M215" s="25" t="n">
        <x:v>0.6</x:v>
      </x:c>
      <x:c r="N215" s="25" t="n">
        <x:v>1</x:v>
      </x:c>
      <x:c r="O215" s="25" t="n">
        <x:v>0.8</x:v>
      </x:c>
      <x:c r="P215" s="30" t="n">
        <x:v>0.07</x:v>
      </x:c>
      <x:c r="Q215" s="25" t="n">
        <x:v>15911396.795802891</x:v>
      </x:c>
      <x:c r="R215" s="25" t="n">
        <x:v>0</x:v>
      </x:c>
    </x:row>
    <x:row r="216" ht="19" customHeight="1">
      <x:c r="A216" s="30" t="str">
        <x:v>A_conservative</x:v>
      </x:c>
      <x:c r="B216" s="25" t="n">
        <x:v>10000</x:v>
      </x:c>
      <x:c r="C216" s="25" t="n">
        <x:v>6939.81832766059</x:v>
      </x:c>
      <x:c r="D216" s="25" t="n">
        <x:v>2479.2420924837947</x:v>
      </x:c>
      <x:c r="E216" s="25" t="n">
        <x:v>634480022.5464479</x:v>
      </x:c>
      <x:c r="F216" s="25" t="n">
        <x:v>44413601.578251354</x:v>
      </x:c>
      <x:c r="G216" s="25" t="n">
        <x:v>16425434.127517506</x:v>
      </x:c>
      <x:c r="H216" s="25" t="n">
        <x:v>123962.10462418974</x:v>
      </x:c>
      <x:c r="I216" s="25" t="n">
        <x:v>50000</x:v>
      </x:c>
      <x:c r="J216" s="25" t="n">
        <x:v>27814205.34610966</x:v>
      </x:c>
      <x:c r="K216" s="30" t="n">
        <x:v>0.02588802412027884</x:v>
      </x:c>
      <x:c r="L216" s="25" t="n">
        <x:v>4383779.529334745</x:v>
      </x:c>
      <x:c r="M216" s="25" t="n">
        <x:v>0.6</x:v>
      </x:c>
      <x:c r="N216" s="25" t="n">
        <x:v>1</x:v>
      </x:c>
      <x:c r="O216" s="25" t="n">
        <x:v>0.8</x:v>
      </x:c>
      <x:c r="P216" s="30" t="n">
        <x:v>0.07</x:v>
      </x:c>
      <x:c r="Q216" s="25" t="n">
        <x:v>15911396.795802891</x:v>
      </x:c>
      <x:c r="R216" s="25" t="n">
        <x:v>11902808.550306767</x:v>
      </x:c>
    </x:row>
    <x:row r="217" ht="19" customHeight="1">
      <x:c r="A217" s="30" t="str">
        <x:v>B_balanced</x:v>
      </x:c>
      <x:c r="B217" s="25" t="n">
        <x:v>10000</x:v>
      </x:c>
      <x:c r="C217" s="25" t="n">
        <x:v>8148.372970277712</x:v>
      </x:c>
      <x:c r="D217" s="25" t="n">
        <x:v>1484.4884774643917</x:v>
      </x:c>
      <x:c r="E217" s="25" t="n">
        <x:v>779209573.5686258</x:v>
      </x:c>
      <x:c r="F217" s="25" t="n">
        <x:v>54544670.14980381</x:v>
      </x:c>
      <x:c r="G217" s="25" t="n">
        <x:v>24274719.795347627</x:v>
      </x:c>
      <x:c r="H217" s="25" t="n">
        <x:v>74224.42387321958</x:v>
      </x:c>
      <x:c r="I217" s="25" t="n">
        <x:v>50000</x:v>
      </x:c>
      <x:c r="J217" s="25" t="n">
        <x:v>30145725.930582963</x:v>
      </x:c>
      <x:c r="K217" s="30" t="n">
        <x:v>0.031153005069193655</x:v>
      </x:c>
      <x:c r="L217" s="25" t="n">
        <x:v>3868757.1294230246</x:v>
      </x:c>
      <x:c r="M217" s="25" t="n">
        <x:v>0.6</x:v>
      </x:c>
      <x:c r="N217" s="25" t="n">
        <x:v>1</x:v>
      </x:c>
      <x:c r="O217" s="25" t="n">
        <x:v>0.8</x:v>
      </x:c>
      <x:c r="P217" s="30" t="n">
        <x:v>0.07</x:v>
      </x:c>
      <x:c r="Q217" s="25" t="n">
        <x:v>15911396.795802891</x:v>
      </x:c>
      <x:c r="R217" s="25" t="n">
        <x:v>14234329.134780072</x:v>
      </x:c>
    </x:row>
    <x:row r="218" ht="19" customHeight="1">
      <x:c r="A218" s="30" t="str">
        <x:v>surrogate_rules</x:v>
      </x:c>
      <x:c r="B218" s="25" t="n">
        <x:v>10000</x:v>
      </x:c>
      <x:c r="C218" s="25" t="n">
        <x:v>6359.724239599367</x:v>
      </x:c>
      <x:c r="D218" s="25" t="n">
        <x:v>6486.439612374531</x:v>
      </x:c>
      <x:c r="E218" s="25" t="n">
        <x:v>480297873.26294786</x:v>
      </x:c>
      <x:c r="F218" s="25" t="n">
        <x:v>48029787.326294795</x:v>
      </x:c>
      <x:c r="G218" s="25" t="n">
        <x:v>17385132.351984736</x:v>
      </x:c>
      <x:c r="H218" s="25" t="n">
        <x:v>324321.9806187265</x:v>
      </x:c>
      <x:c r="I218" s="25" t="n">
        <x:v>0</x:v>
      </x:c>
      <x:c r="J218" s="25" t="n">
        <x:v>30320332.993691333</x:v>
      </x:c>
      <x:c r="K218" s="30" t="n">
        <x:v>0.036196563257457785</x:v>
      </x:c>
      <x:c r="L218" s="25" t="n">
        <x:v>6312818.499009241</x:v>
      </x:c>
      <x:c r="M218" s="25" t="n">
        <x:v>0.6</x:v>
      </x:c>
      <x:c r="N218" s="25" t="n">
        <x:v>1</x:v>
      </x:c>
      <x:c r="O218" s="25" t="n">
        <x:v>0.8</x:v>
      </x:c>
      <x:c r="P218" s="30" t="n">
        <x:v>0.10000000000000002</x:v>
      </x:c>
      <x:c r="Q218" s="25" t="n">
        <x:v>30320332.993691333</x:v>
      </x:c>
      <x:c r="R218" s="25" t="n">
        <x:v>0</x:v>
      </x:c>
    </x:row>
    <x:row r="219" ht="19" customHeight="1">
      <x:c r="A219" s="30" t="str">
        <x:v>A_conservative</x:v>
      </x:c>
      <x:c r="B219" s="25" t="n">
        <x:v>10000</x:v>
      </x:c>
      <x:c r="C219" s="25" t="n">
        <x:v>6939.81832766059</x:v>
      </x:c>
      <x:c r="D219" s="25" t="n">
        <x:v>2479.2420924837947</x:v>
      </x:c>
      <x:c r="E219" s="25" t="n">
        <x:v>634480022.5464479</x:v>
      </x:c>
      <x:c r="F219" s="25" t="n">
        <x:v>63448002.254644796</x:v>
      </x:c>
      <x:c r="G219" s="25" t="n">
        <x:v>16425434.127517506</x:v>
      </x:c>
      <x:c r="H219" s="25" t="n">
        <x:v>123962.10462418974</x:v>
      </x:c>
      <x:c r="I219" s="25" t="n">
        <x:v>50000</x:v>
      </x:c>
      <x:c r="J219" s="25" t="n">
        <x:v>46848606.0225031</x:v>
      </x:c>
      <x:c r="K219" s="30" t="n">
        <x:v>0.02588802412027884</x:v>
      </x:c>
      <x:c r="L219" s="25" t="n">
        <x:v>7383779.529334745</x:v>
      </x:c>
      <x:c r="M219" s="25" t="n">
        <x:v>0.6</x:v>
      </x:c>
      <x:c r="N219" s="25" t="n">
        <x:v>1</x:v>
      </x:c>
      <x:c r="O219" s="25" t="n">
        <x:v>0.8</x:v>
      </x:c>
      <x:c r="P219" s="30" t="n">
        <x:v>0.10000000000000002</x:v>
      </x:c>
      <x:c r="Q219" s="25" t="n">
        <x:v>30320332.993691333</x:v>
      </x:c>
      <x:c r="R219" s="25" t="n">
        <x:v>16528273.028811768</x:v>
      </x:c>
    </x:row>
    <x:row r="220" ht="19" customHeight="1">
      <x:c r="A220" s="30" t="str">
        <x:v>B_balanced</x:v>
      </x:c>
      <x:c r="B220" s="25" t="n">
        <x:v>10000</x:v>
      </x:c>
      <x:c r="C220" s="25" t="n">
        <x:v>8148.372970277712</x:v>
      </x:c>
      <x:c r="D220" s="25" t="n">
        <x:v>1484.4884774643917</x:v>
      </x:c>
      <x:c r="E220" s="25" t="n">
        <x:v>779209573.5686258</x:v>
      </x:c>
      <x:c r="F220" s="25" t="n">
        <x:v>77920957.35686259</x:v>
      </x:c>
      <x:c r="G220" s="25" t="n">
        <x:v>24274719.795347627</x:v>
      </x:c>
      <x:c r="H220" s="25" t="n">
        <x:v>74224.42387321958</x:v>
      </x:c>
      <x:c r="I220" s="25" t="n">
        <x:v>50000</x:v>
      </x:c>
      <x:c r="J220" s="25" t="n">
        <x:v>53522013.13764174</x:v>
      </x:c>
      <x:c r="K220" s="30" t="n">
        <x:v>0.031153005069193655</x:v>
      </x:c>
      <x:c r="L220" s="25" t="n">
        <x:v>6868757.129423025</x:v>
      </x:c>
      <x:c r="M220" s="25" t="n">
        <x:v>0.6</x:v>
      </x:c>
      <x:c r="N220" s="25" t="n">
        <x:v>1</x:v>
      </x:c>
      <x:c r="O220" s="25" t="n">
        <x:v>0.8</x:v>
      </x:c>
      <x:c r="P220" s="30" t="n">
        <x:v>0.10000000000000002</x:v>
      </x:c>
      <x:c r="Q220" s="25" t="n">
        <x:v>30320332.993691333</x:v>
      </x:c>
      <x:c r="R220" s="25" t="n">
        <x:v>23201680.14395041</x:v>
      </x:c>
    </x:row>
    <x:row r="221" ht="19" customHeight="1">
      <x:c r="A221" s="30" t="str">
        <x:v>surrogate_rules</x:v>
      </x:c>
      <x:c r="B221" s="25" t="n">
        <x:v>10000</x:v>
      </x:c>
      <x:c r="C221" s="25" t="n">
        <x:v>3765.1483946495546</x:v>
      </x:c>
      <x:c r="D221" s="25" t="n">
        <x:v>6486.439612374531</x:v>
      </x:c>
      <x:c r="E221" s="25" t="n">
        <x:v>298677564.11646104</x:v>
      </x:c>
      <x:c r="F221" s="25" t="n">
        <x:v>11947102.56465844</x:v>
      </x:c>
      <x:c r="G221" s="25" t="n">
        <x:v>15170464.153315846</x:v>
      </x:c>
      <x:c r="H221" s="25" t="n">
        <x:v>324321.9806187265</x:v>
      </x:c>
      <x:c r="I221" s="25" t="n">
        <x:v>0</x:v>
      </x:c>
      <x:c r="J221" s="25" t="n">
        <x:v>-3547683.5692761317</x:v>
      </x:c>
      <x:c r="K221" s="30" t="n">
        <x:v>0.050792111547422907</x:v>
      </x:c>
      <x:c r="L221" s="25" t="n">
        <x:v>-1187797.1416335814</x:v>
      </x:c>
      <x:c r="M221" s="25" t="n">
        <x:v>0.6</x:v>
      </x:c>
      <x:c r="N221" s="25" t="n">
        <x:v>1.5</x:v>
      </x:c>
      <x:c r="O221" s="25" t="n">
        <x:v>0.4</x:v>
      </x:c>
      <x:c r="P221" s="30" t="n">
        <x:v>0.039999999999999994</x:v>
      </x:c>
      <x:c r="Q221" s="25" t="n">
        <x:v>-3547683.5692761317</x:v>
      </x:c>
      <x:c r="R221" s="25" t="n">
        <x:v>0</x:v>
      </x:c>
    </x:row>
    <x:row r="222" ht="19" customHeight="1">
      <x:c r="A222" s="30" t="str">
        <x:v>A_conservative</x:v>
      </x:c>
      <x:c r="B222" s="25" t="n">
        <x:v>10000</x:v>
      </x:c>
      <x:c r="C222" s="25" t="n">
        <x:v>5948.121490667072</x:v>
      </x:c>
      <x:c r="D222" s="25" t="n">
        <x:v>2479.2420924837947</x:v>
      </x:c>
      <x:c r="E222" s="25" t="n">
        <x:v>565061243.9569017</x:v>
      </x:c>
      <x:c r="F222" s="25" t="n">
        <x:v>22602449.758276064</x:v>
      </x:c>
      <x:c r="G222" s="25" t="n">
        <x:v>19743143.928718537</x:v>
      </x:c>
      <x:c r="H222" s="25" t="n">
        <x:v>123962.10462418974</x:v>
      </x:c>
      <x:c r="I222" s="25" t="n">
        <x:v>50000</x:v>
      </x:c>
      <x:c r="J222" s="25" t="n">
        <x:v>2685343.724933337</x:v>
      </x:c>
      <x:c r="K222" s="30" t="n">
        <x:v>0.03493983022170316</x:v>
      </x:c>
      <x:c r="L222" s="25" t="n">
        <x:v>475230.5619350092</x:v>
      </x:c>
      <x:c r="M222" s="25" t="n">
        <x:v>0.6</x:v>
      </x:c>
      <x:c r="N222" s="25" t="n">
        <x:v>1.5</x:v>
      </x:c>
      <x:c r="O222" s="25" t="n">
        <x:v>0.4</x:v>
      </x:c>
      <x:c r="P222" s="30" t="n">
        <x:v>0.039999999999999994</x:v>
      </x:c>
      <x:c r="Q222" s="25" t="n">
        <x:v>-3547683.5692761317</x:v>
      </x:c>
      <x:c r="R222" s="25" t="n">
        <x:v>6233027.294209469</x:v>
      </x:c>
    </x:row>
    <x:row r="223" ht="19" customHeight="1">
      <x:c r="A223" s="30" t="str">
        <x:v>B_balanced</x:v>
      </x:c>
      <x:c r="B223" s="25" t="n">
        <x:v>10000</x:v>
      </x:c>
      <x:c r="C223" s="25" t="n">
        <x:v>7554.577579291957</x:v>
      </x:c>
      <x:c r="D223" s="25" t="n">
        <x:v>1484.4884774643917</x:v>
      </x:c>
      <x:c r="E223" s="25" t="n">
        <x:v>737643896.1996229</x:v>
      </x:c>
      <x:c r="F223" s="25" t="n">
        <x:v>29505755.84798491</x:v>
      </x:c>
      <x:c r="G223" s="25" t="n">
        <x:v>32205432.826760896</x:v>
      </x:c>
      <x:c r="H223" s="25" t="n">
        <x:v>74224.42387321958</x:v>
      </x:c>
      <x:c r="I223" s="25" t="n">
        <x:v>50000</x:v>
      </x:c>
      <x:c r="J223" s="25" t="n">
        <x:v>-2823901.402649205</x:v>
      </x:c>
      <x:c r="K223" s="30" t="n">
        <x:v>0.043659864865262014</x:v>
      </x:c>
      <x:c r="L223" s="25" t="n">
        <x:v>-382827.1903554116</x:v>
      </x:c>
      <x:c r="M223" s="25" t="n">
        <x:v>0.6</x:v>
      </x:c>
      <x:c r="N223" s="25" t="n">
        <x:v>1.5</x:v>
      </x:c>
      <x:c r="O223" s="25" t="n">
        <x:v>0.4</x:v>
      </x:c>
      <x:c r="P223" s="30" t="n">
        <x:v>0.039999999999999994</x:v>
      </x:c>
      <x:c r="Q223" s="25" t="n">
        <x:v>-3547683.5692761317</x:v>
      </x:c>
      <x:c r="R223" s="25" t="n">
        <x:v>723782.1666269265</x:v>
      </x:c>
    </x:row>
    <x:row r="224" ht="19" customHeight="1">
      <x:c r="A224" s="30" t="str">
        <x:v>surrogate_rules</x:v>
      </x:c>
      <x:c r="B224" s="25" t="n">
        <x:v>10000</x:v>
      </x:c>
      <x:c r="C224" s="25" t="n">
        <x:v>3765.1483946495546</x:v>
      </x:c>
      <x:c r="D224" s="25" t="n">
        <x:v>6486.439612374531</x:v>
      </x:c>
      <x:c r="E224" s="25" t="n">
        <x:v>298677564.11646104</x:v>
      </x:c>
      <x:c r="F224" s="25" t="n">
        <x:v>20907429.488152273</x:v>
      </x:c>
      <x:c r="G224" s="25" t="n">
        <x:v>15170464.153315846</x:v>
      </x:c>
      <x:c r="H224" s="25" t="n">
        <x:v>324321.9806187265</x:v>
      </x:c>
      <x:c r="I224" s="25" t="n">
        <x:v>0</x:v>
      </x:c>
      <x:c r="J224" s="25" t="n">
        <x:v>5412643.354217701</x:v>
      </x:c>
      <x:c r="K224" s="30" t="n">
        <x:v>0.050792111547422907</x:v>
      </x:c>
      <x:c r="L224" s="25" t="n">
        <x:v>1812202.8583664189</x:v>
      </x:c>
      <x:c r="M224" s="25" t="n">
        <x:v>0.6</x:v>
      </x:c>
      <x:c r="N224" s="25" t="n">
        <x:v>1.5</x:v>
      </x:c>
      <x:c r="O224" s="25" t="n">
        <x:v>0.4</x:v>
      </x:c>
      <x:c r="P224" s="30" t="n">
        <x:v>0.07</x:v>
      </x:c>
      <x:c r="Q224" s="25" t="n">
        <x:v>5412643.354217701</x:v>
      </x:c>
      <x:c r="R224" s="25" t="n">
        <x:v>0</x:v>
      </x:c>
    </x:row>
    <x:row r="225" ht="19" customHeight="1">
      <x:c r="A225" s="30" t="str">
        <x:v>A_conservative</x:v>
      </x:c>
      <x:c r="B225" s="25" t="n">
        <x:v>10000</x:v>
      </x:c>
      <x:c r="C225" s="25" t="n">
        <x:v>5948.121490667072</x:v>
      </x:c>
      <x:c r="D225" s="25" t="n">
        <x:v>2479.2420924837947</x:v>
      </x:c>
      <x:c r="E225" s="25" t="n">
        <x:v>565061243.9569017</x:v>
      </x:c>
      <x:c r="F225" s="25" t="n">
        <x:v>39554287.076983124</x:v>
      </x:c>
      <x:c r="G225" s="25" t="n">
        <x:v>19743143.928718537</x:v>
      </x:c>
      <x:c r="H225" s="25" t="n">
        <x:v>123962.10462418974</x:v>
      </x:c>
      <x:c r="I225" s="25" t="n">
        <x:v>50000</x:v>
      </x:c>
      <x:c r="J225" s="25" t="n">
        <x:v>19637181.043640397</x:v>
      </x:c>
      <x:c r="K225" s="30" t="n">
        <x:v>0.03493983022170316</x:v>
      </x:c>
      <x:c r="L225" s="25" t="n">
        <x:v>3475230.561935011</x:v>
      </x:c>
      <x:c r="M225" s="25" t="n">
        <x:v>0.6</x:v>
      </x:c>
      <x:c r="N225" s="25" t="n">
        <x:v>1.5</x:v>
      </x:c>
      <x:c r="O225" s="25" t="n">
        <x:v>0.4</x:v>
      </x:c>
      <x:c r="P225" s="30" t="n">
        <x:v>0.07</x:v>
      </x:c>
      <x:c r="Q225" s="25" t="n">
        <x:v>5412643.354217701</x:v>
      </x:c>
      <x:c r="R225" s="25" t="n">
        <x:v>14224537.689422697</x:v>
      </x:c>
    </x:row>
    <x:row r="226" ht="19" customHeight="1">
      <x:c r="A226" s="30" t="str">
        <x:v>B_balanced</x:v>
      </x:c>
      <x:c r="B226" s="25" t="n">
        <x:v>10000</x:v>
      </x:c>
      <x:c r="C226" s="25" t="n">
        <x:v>7554.577579291957</x:v>
      </x:c>
      <x:c r="D226" s="25" t="n">
        <x:v>1484.4884774643917</x:v>
      </x:c>
      <x:c r="E226" s="25" t="n">
        <x:v>737643896.1996229</x:v>
      </x:c>
      <x:c r="F226" s="25" t="n">
        <x:v>51635072.73397361</x:v>
      </x:c>
      <x:c r="G226" s="25" t="n">
        <x:v>32205432.826760896</x:v>
      </x:c>
      <x:c r="H226" s="25" t="n">
        <x:v>74224.42387321958</x:v>
      </x:c>
      <x:c r="I226" s="25" t="n">
        <x:v>50000</x:v>
      </x:c>
      <x:c r="J226" s="25" t="n">
        <x:v>19305415.483339492</x:v>
      </x:c>
      <x:c r="K226" s="30" t="n">
        <x:v>0.043659864865262014</x:v>
      </x:c>
      <x:c r="L226" s="25" t="n">
        <x:v>2617172.8096445897</x:v>
      </x:c>
      <x:c r="M226" s="25" t="n">
        <x:v>0.6</x:v>
      </x:c>
      <x:c r="N226" s="25" t="n">
        <x:v>1.5</x:v>
      </x:c>
      <x:c r="O226" s="25" t="n">
        <x:v>0.4</x:v>
      </x:c>
      <x:c r="P226" s="30" t="n">
        <x:v>0.07</x:v>
      </x:c>
      <x:c r="Q226" s="25" t="n">
        <x:v>5412643.354217701</x:v>
      </x:c>
      <x:c r="R226" s="25" t="n">
        <x:v>13892772.129121792</x:v>
      </x:c>
    </x:row>
    <x:row r="227" ht="19" customHeight="1">
      <x:c r="A227" s="30" t="str">
        <x:v>surrogate_rules</x:v>
      </x:c>
      <x:c r="B227" s="25" t="n">
        <x:v>10000</x:v>
      </x:c>
      <x:c r="C227" s="25" t="n">
        <x:v>3765.1483946495546</x:v>
      </x:c>
      <x:c r="D227" s="25" t="n">
        <x:v>6486.439612374531</x:v>
      </x:c>
      <x:c r="E227" s="25" t="n">
        <x:v>298677564.11646104</x:v>
      </x:c>
      <x:c r="F227" s="25" t="n">
        <x:v>29867756.41164611</x:v>
      </x:c>
      <x:c r="G227" s="25" t="n">
        <x:v>15170464.153315846</x:v>
      </x:c>
      <x:c r="H227" s="25" t="n">
        <x:v>324321.9806187265</x:v>
      </x:c>
      <x:c r="I227" s="25" t="n">
        <x:v>0</x:v>
      </x:c>
      <x:c r="J227" s="25" t="n">
        <x:v>14372970.277711537</x:v>
      </x:c>
      <x:c r="K227" s="30" t="n">
        <x:v>0.050792111547422907</x:v>
      </x:c>
      <x:c r="L227" s="25" t="n">
        <x:v>4812202.8583664205</x:v>
      </x:c>
      <x:c r="M227" s="25" t="n">
        <x:v>0.6</x:v>
      </x:c>
      <x:c r="N227" s="25" t="n">
        <x:v>1.5</x:v>
      </x:c>
      <x:c r="O227" s="25" t="n">
        <x:v>0.4</x:v>
      </x:c>
      <x:c r="P227" s="30" t="n">
        <x:v>0.10000000000000002</x:v>
      </x:c>
      <x:c r="Q227" s="25" t="n">
        <x:v>14372970.277711537</x:v>
      </x:c>
      <x:c r="R227" s="25" t="n">
        <x:v>0</x:v>
      </x:c>
    </x:row>
    <x:row r="228" ht="19" customHeight="1">
      <x:c r="A228" s="30" t="str">
        <x:v>A_conservative</x:v>
      </x:c>
      <x:c r="B228" s="25" t="n">
        <x:v>10000</x:v>
      </x:c>
      <x:c r="C228" s="25" t="n">
        <x:v>5948.121490667072</x:v>
      </x:c>
      <x:c r="D228" s="25" t="n">
        <x:v>2479.2420924837947</x:v>
      </x:c>
      <x:c r="E228" s="25" t="n">
        <x:v>565061243.9569017</x:v>
      </x:c>
      <x:c r="F228" s="25" t="n">
        <x:v>56506124.39569018</x:v>
      </x:c>
      <x:c r="G228" s="25" t="n">
        <x:v>19743143.928718537</x:v>
      </x:c>
      <x:c r="H228" s="25" t="n">
        <x:v>123962.10462418974</x:v>
      </x:c>
      <x:c r="I228" s="25" t="n">
        <x:v>50000</x:v>
      </x:c>
      <x:c r="J228" s="25" t="n">
        <x:v>36589018.362347454</x:v>
      </x:c>
      <x:c r="K228" s="30" t="n">
        <x:v>0.03493983022170316</x:v>
      </x:c>
      <x:c r="L228" s="25" t="n">
        <x:v>6475230.561935012</x:v>
      </x:c>
      <x:c r="M228" s="25" t="n">
        <x:v>0.6</x:v>
      </x:c>
      <x:c r="N228" s="25" t="n">
        <x:v>1.5</x:v>
      </x:c>
      <x:c r="O228" s="25" t="n">
        <x:v>0.4</x:v>
      </x:c>
      <x:c r="P228" s="30" t="n">
        <x:v>0.10000000000000002</x:v>
      </x:c>
      <x:c r="Q228" s="25" t="n">
        <x:v>14372970.277711537</x:v>
      </x:c>
      <x:c r="R228" s="25" t="n">
        <x:v>22216048.084635917</x:v>
      </x:c>
    </x:row>
    <x:row r="229" ht="19" customHeight="1">
      <x:c r="A229" s="30" t="str">
        <x:v>B_balanced</x:v>
      </x:c>
      <x:c r="B229" s="25" t="n">
        <x:v>10000</x:v>
      </x:c>
      <x:c r="C229" s="25" t="n">
        <x:v>7554.577579291957</x:v>
      </x:c>
      <x:c r="D229" s="25" t="n">
        <x:v>1484.4884774643917</x:v>
      </x:c>
      <x:c r="E229" s="25" t="n">
        <x:v>737643896.1996229</x:v>
      </x:c>
      <x:c r="F229" s="25" t="n">
        <x:v>73764389.6199623</x:v>
      </x:c>
      <x:c r="G229" s="25" t="n">
        <x:v>32205432.826760896</x:v>
      </x:c>
      <x:c r="H229" s="25" t="n">
        <x:v>74224.42387321958</x:v>
      </x:c>
      <x:c r="I229" s="25" t="n">
        <x:v>50000</x:v>
      </x:c>
      <x:c r="J229" s="25" t="n">
        <x:v>41434732.36932819</x:v>
      </x:c>
      <x:c r="K229" s="30" t="n">
        <x:v>0.043659864865262014</x:v>
      </x:c>
      <x:c r="L229" s="25" t="n">
        <x:v>5617172.809644592</x:v>
      </x:c>
      <x:c r="M229" s="25" t="n">
        <x:v>0.6</x:v>
      </x:c>
      <x:c r="N229" s="25" t="n">
        <x:v>1.5</x:v>
      </x:c>
      <x:c r="O229" s="25" t="n">
        <x:v>0.4</x:v>
      </x:c>
      <x:c r="P229" s="30" t="n">
        <x:v>0.10000000000000002</x:v>
      </x:c>
      <x:c r="Q229" s="25" t="n">
        <x:v>14372970.277711537</x:v>
      </x:c>
      <x:c r="R229" s="25" t="n">
        <x:v>27061762.091616657</x:v>
      </x:c>
    </x:row>
    <x:row r="230" ht="19" customHeight="1">
      <x:c r="A230" s="30" t="str">
        <x:v>surrogate_rules</x:v>
      </x:c>
      <x:c r="B230" s="25" t="n">
        <x:v>10000</x:v>
      </x:c>
      <x:c r="C230" s="25" t="n">
        <x:v>5062.43631712446</x:v>
      </x:c>
      <x:c r="D230" s="25" t="n">
        <x:v>6486.439612374531</x:v>
      </x:c>
      <x:c r="E230" s="25" t="n">
        <x:v>389487718.6897046</x:v>
      </x:c>
      <x:c r="F230" s="25" t="n">
        <x:v>15579508.747588182</x:v>
      </x:c>
      <x:c r="G230" s="25" t="n">
        <x:v>20624081.340646476</x:v>
      </x:c>
      <x:c r="H230" s="25" t="n">
        <x:v>324321.9806187265</x:v>
      </x:c>
      <x:c r="I230" s="25" t="n">
        <x:v>0</x:v>
      </x:c>
      <x:c r="J230" s="25" t="n">
        <x:v>-5368894.57367702</x:v>
      </x:c>
      <x:c r="K230" s="30" t="n">
        <x:v>0.05295181427036774</x:v>
      </x:c>
      <x:c r="L230" s="25" t="n">
        <x:v>-1378450.2863758556</x:v>
      </x:c>
      <x:c r="M230" s="25" t="n">
        <x:v>0.6</x:v>
      </x:c>
      <x:c r="N230" s="25" t="n">
        <x:v>1.5</x:v>
      </x:c>
      <x:c r="O230" s="25" t="n">
        <x:v>0.6</x:v>
      </x:c>
      <x:c r="P230" s="30" t="n">
        <x:v>0.039999999999999994</x:v>
      </x:c>
      <x:c r="Q230" s="25" t="n">
        <x:v>-5368894.57367702</x:v>
      </x:c>
      <x:c r="R230" s="25" t="n">
        <x:v>0</x:v>
      </x:c>
    </x:row>
    <x:row r="231" ht="19" customHeight="1">
      <x:c r="A231" s="30" t="str">
        <x:v>A_conservative</x:v>
      </x:c>
      <x:c r="B231" s="25" t="n">
        <x:v>10000</x:v>
      </x:c>
      <x:c r="C231" s="25" t="n">
        <x:v>6443.96990916383</x:v>
      </x:c>
      <x:c r="D231" s="25" t="n">
        <x:v>2479.2420924837947</x:v>
      </x:c>
      <x:c r="E231" s="25" t="n">
        <x:v>599770633.2516748</x:v>
      </x:c>
      <x:c r="F231" s="25" t="n">
        <x:v>23990825.330066986</x:v>
      </x:c>
      <x:c r="G231" s="25" t="n">
        <x:v>22190647.5599974</x:v>
      </x:c>
      <x:c r="H231" s="25" t="n">
        <x:v>123962.10462418974</x:v>
      </x:c>
      <x:c r="I231" s="25" t="n">
        <x:v>50000</x:v>
      </x:c>
      <x:c r="J231" s="25" t="n">
        <x:v>1626215.6654453983</x:v>
      </x:c>
      <x:c r="K231" s="30" t="n">
        <x:v>0.036998556330926254</x:v>
      </x:c>
      <x:c r="L231" s="25" t="n">
        <x:v>271139.5949196146</x:v>
      </x:c>
      <x:c r="M231" s="25" t="n">
        <x:v>0.6</x:v>
      </x:c>
      <x:c r="N231" s="25" t="n">
        <x:v>1.5</x:v>
      </x:c>
      <x:c r="O231" s="25" t="n">
        <x:v>0.6</x:v>
      </x:c>
      <x:c r="P231" s="30" t="n">
        <x:v>0.039999999999999994</x:v>
      </x:c>
      <x:c r="Q231" s="25" t="n">
        <x:v>-5368894.57367702</x:v>
      </x:c>
      <x:c r="R231" s="25" t="n">
        <x:v>6995110.239122419</x:v>
      </x:c>
    </x:row>
    <x:row r="232" ht="19" customHeight="1">
      <x:c r="A232" s="30" t="str">
        <x:v>B_balanced</x:v>
      </x:c>
      <x:c r="B232" s="25" t="n">
        <x:v>10000</x:v>
      </x:c>
      <x:c r="C232" s="25" t="n">
        <x:v>7851.4752747848315</x:v>
      </x:c>
      <x:c r="D232" s="25" t="n">
        <x:v>1484.4884774643917</x:v>
      </x:c>
      <x:c r="E232" s="25" t="n">
        <x:v>758426734.8841242</x:v>
      </x:c>
      <x:c r="F232" s="25" t="n">
        <x:v>30337069.395364963</x:v>
      </x:c>
      <x:c r="G232" s="25" t="n">
        <x:v>34308756.259891175</x:v>
      </x:c>
      <x:c r="H232" s="25" t="n">
        <x:v>74224.42387321958</x:v>
      </x:c>
      <x:c r="I232" s="25" t="n">
        <x:v>50000</x:v>
      </x:c>
      <x:c r="J232" s="25" t="n">
        <x:v>-4095911.288399432</x:v>
      </x:c>
      <x:c r="K232" s="30" t="n">
        <x:v>0.0452367442784477</x:v>
      </x:c>
      <x:c r="L232" s="25" t="n">
        <x:v>-540053.6531752435</x:v>
      </x:c>
      <x:c r="M232" s="25" t="n">
        <x:v>0.6</x:v>
      </x:c>
      <x:c r="N232" s="25" t="n">
        <x:v>1.5</x:v>
      </x:c>
      <x:c r="O232" s="25" t="n">
        <x:v>0.6</x:v>
      </x:c>
      <x:c r="P232" s="30" t="n">
        <x:v>0.039999999999999994</x:v>
      </x:c>
      <x:c r="Q232" s="25" t="n">
        <x:v>-5368894.57367702</x:v>
      </x:c>
      <x:c r="R232" s="25" t="n">
        <x:v>1272983.2852775883</x:v>
      </x:c>
    </x:row>
    <x:row r="233" ht="19" customHeight="1">
      <x:c r="A233" s="30" t="str">
        <x:v>surrogate_rules</x:v>
      </x:c>
      <x:c r="B233" s="25" t="n">
        <x:v>10000</x:v>
      </x:c>
      <x:c r="C233" s="25" t="n">
        <x:v>5062.43631712446</x:v>
      </x:c>
      <x:c r="D233" s="25" t="n">
        <x:v>6486.439612374531</x:v>
      </x:c>
      <x:c r="E233" s="25" t="n">
        <x:v>389487718.6897046</x:v>
      </x:c>
      <x:c r="F233" s="25" t="n">
        <x:v>27264140.308279324</x:v>
      </x:c>
      <x:c r="G233" s="25" t="n">
        <x:v>20624081.340646476</x:v>
      </x:c>
      <x:c r="H233" s="25" t="n">
        <x:v>324321.9806187265</x:v>
      </x:c>
      <x:c r="I233" s="25" t="n">
        <x:v>0</x:v>
      </x:c>
      <x:c r="J233" s="25" t="n">
        <x:v>6315736.987014122</x:v>
      </x:c>
      <x:c r="K233" s="30" t="n">
        <x:v>0.05295181427036774</x:v>
      </x:c>
      <x:c r="L233" s="25" t="n">
        <x:v>1621549.7136241454</x:v>
      </x:c>
      <x:c r="M233" s="25" t="n">
        <x:v>0.6</x:v>
      </x:c>
      <x:c r="N233" s="25" t="n">
        <x:v>1.5</x:v>
      </x:c>
      <x:c r="O233" s="25" t="n">
        <x:v>0.6</x:v>
      </x:c>
      <x:c r="P233" s="30" t="n">
        <x:v>0.07</x:v>
      </x:c>
      <x:c r="Q233" s="25" t="n">
        <x:v>6315736.987014122</x:v>
      </x:c>
      <x:c r="R233" s="25" t="n">
        <x:v>0</x:v>
      </x:c>
    </x:row>
    <x:row r="234" ht="19" customHeight="1">
      <x:c r="A234" s="30" t="str">
        <x:v>A_conservative</x:v>
      </x:c>
      <x:c r="B234" s="25" t="n">
        <x:v>10000</x:v>
      </x:c>
      <x:c r="C234" s="25" t="n">
        <x:v>6443.96990916383</x:v>
      </x:c>
      <x:c r="D234" s="25" t="n">
        <x:v>2479.2420924837947</x:v>
      </x:c>
      <x:c r="E234" s="25" t="n">
        <x:v>599770633.2516748</x:v>
      </x:c>
      <x:c r="F234" s="25" t="n">
        <x:v>41983944.327617235</x:v>
      </x:c>
      <x:c r="G234" s="25" t="n">
        <x:v>22190647.5599974</x:v>
      </x:c>
      <x:c r="H234" s="25" t="n">
        <x:v>123962.10462418974</x:v>
      </x:c>
      <x:c r="I234" s="25" t="n">
        <x:v>50000</x:v>
      </x:c>
      <x:c r="J234" s="25" t="n">
        <x:v>19619334.662995648</x:v>
      </x:c>
      <x:c r="K234" s="30" t="n">
        <x:v>0.036998556330926254</x:v>
      </x:c>
      <x:c r="L234" s="25" t="n">
        <x:v>3271139.5949196154</x:v>
      </x:c>
      <x:c r="M234" s="25" t="n">
        <x:v>0.6</x:v>
      </x:c>
      <x:c r="N234" s="25" t="n">
        <x:v>1.5</x:v>
      </x:c>
      <x:c r="O234" s="25" t="n">
        <x:v>0.6</x:v>
      </x:c>
      <x:c r="P234" s="30" t="n">
        <x:v>0.07</x:v>
      </x:c>
      <x:c r="Q234" s="25" t="n">
        <x:v>6315736.987014122</x:v>
      </x:c>
      <x:c r="R234" s="25" t="n">
        <x:v>13303597.675981525</x:v>
      </x:c>
    </x:row>
    <x:row r="235" ht="19" customHeight="1">
      <x:c r="A235" s="30" t="str">
        <x:v>B_balanced</x:v>
      </x:c>
      <x:c r="B235" s="25" t="n">
        <x:v>10000</x:v>
      </x:c>
      <x:c r="C235" s="25" t="n">
        <x:v>7851.4752747848315</x:v>
      </x:c>
      <x:c r="D235" s="25" t="n">
        <x:v>1484.4884774643917</x:v>
      </x:c>
      <x:c r="E235" s="25" t="n">
        <x:v>758426734.8841242</x:v>
      </x:c>
      <x:c r="F235" s="25" t="n">
        <x:v>53089871.4418887</x:v>
      </x:c>
      <x:c r="G235" s="25" t="n">
        <x:v>34308756.259891175</x:v>
      </x:c>
      <x:c r="H235" s="25" t="n">
        <x:v>74224.42387321958</x:v>
      </x:c>
      <x:c r="I235" s="25" t="n">
        <x:v>50000</x:v>
      </x:c>
      <x:c r="J235" s="25" t="n">
        <x:v>18656890.758124303</x:v>
      </x:c>
      <x:c r="K235" s="30" t="n">
        <x:v>0.0452367442784477</x:v>
      </x:c>
      <x:c r="L235" s="25" t="n">
        <x:v>2459946.3468247578</x:v>
      </x:c>
      <x:c r="M235" s="25" t="n">
        <x:v>0.6</x:v>
      </x:c>
      <x:c r="N235" s="25" t="n">
        <x:v>1.5</x:v>
      </x:c>
      <x:c r="O235" s="25" t="n">
        <x:v>0.6</x:v>
      </x:c>
      <x:c r="P235" s="30" t="n">
        <x:v>0.07</x:v>
      </x:c>
      <x:c r="Q235" s="25" t="n">
        <x:v>6315736.987014122</x:v>
      </x:c>
      <x:c r="R235" s="25" t="n">
        <x:v>12341153.77111018</x:v>
      </x:c>
    </x:row>
    <x:row r="236" ht="19" customHeight="1">
      <x:c r="A236" s="30" t="str">
        <x:v>surrogate_rules</x:v>
      </x:c>
      <x:c r="B236" s="25" t="n">
        <x:v>10000</x:v>
      </x:c>
      <x:c r="C236" s="25" t="n">
        <x:v>5062.43631712446</x:v>
      </x:c>
      <x:c r="D236" s="25" t="n">
        <x:v>6486.439612374531</x:v>
      </x:c>
      <x:c r="E236" s="25" t="n">
        <x:v>389487718.6897046</x:v>
      </x:c>
      <x:c r="F236" s="25" t="n">
        <x:v>38948771.86897047</x:v>
      </x:c>
      <x:c r="G236" s="25" t="n">
        <x:v>20624081.340646476</x:v>
      </x:c>
      <x:c r="H236" s="25" t="n">
        <x:v>324321.9806187265</x:v>
      </x:c>
      <x:c r="I236" s="25" t="n">
        <x:v>0</x:v>
      </x:c>
      <x:c r="J236" s="25" t="n">
        <x:v>18000368.547705267</x:v>
      </x:c>
      <x:c r="K236" s="30" t="n">
        <x:v>0.05295181427036774</x:v>
      </x:c>
      <x:c r="L236" s="25" t="n">
        <x:v>4621549.713624147</x:v>
      </x:c>
      <x:c r="M236" s="25" t="n">
        <x:v>0.6</x:v>
      </x:c>
      <x:c r="N236" s="25" t="n">
        <x:v>1.5</x:v>
      </x:c>
      <x:c r="O236" s="25" t="n">
        <x:v>0.6</x:v>
      </x:c>
      <x:c r="P236" s="30" t="n">
        <x:v>0.10000000000000002</x:v>
      </x:c>
      <x:c r="Q236" s="25" t="n">
        <x:v>18000368.547705267</x:v>
      </x:c>
      <x:c r="R236" s="25" t="n">
        <x:v>0</x:v>
      </x:c>
    </x:row>
    <x:row r="237" ht="19" customHeight="1">
      <x:c r="A237" s="30" t="str">
        <x:v>A_conservative</x:v>
      </x:c>
      <x:c r="B237" s="25" t="n">
        <x:v>10000</x:v>
      </x:c>
      <x:c r="C237" s="25" t="n">
        <x:v>6443.96990916383</x:v>
      </x:c>
      <x:c r="D237" s="25" t="n">
        <x:v>2479.2420924837947</x:v>
      </x:c>
      <x:c r="E237" s="25" t="n">
        <x:v>599770633.2516748</x:v>
      </x:c>
      <x:c r="F237" s="25" t="n">
        <x:v>59977063.32516749</x:v>
      </x:c>
      <x:c r="G237" s="25" t="n">
        <x:v>22190647.5599974</x:v>
      </x:c>
      <x:c r="H237" s="25" t="n">
        <x:v>123962.10462418974</x:v>
      </x:c>
      <x:c r="I237" s="25" t="n">
        <x:v>50000</x:v>
      </x:c>
      <x:c r="J237" s="25" t="n">
        <x:v>37612453.66054591</x:v>
      </x:c>
      <x:c r="K237" s="30" t="n">
        <x:v>0.036998556330926254</x:v>
      </x:c>
      <x:c r="L237" s="25" t="n">
        <x:v>6271139.594919618</x:v>
      </x:c>
      <x:c r="M237" s="25" t="n">
        <x:v>0.6</x:v>
      </x:c>
      <x:c r="N237" s="25" t="n">
        <x:v>1.5</x:v>
      </x:c>
      <x:c r="O237" s="25" t="n">
        <x:v>0.6</x:v>
      </x:c>
      <x:c r="P237" s="30" t="n">
        <x:v>0.10000000000000002</x:v>
      </x:c>
      <x:c r="Q237" s="25" t="n">
        <x:v>18000368.547705267</x:v>
      </x:c>
      <x:c r="R237" s="25" t="n">
        <x:v>19612085.11284064</x:v>
      </x:c>
    </x:row>
    <x:row r="238" ht="19" customHeight="1">
      <x:c r="A238" s="30" t="str">
        <x:v>B_balanced</x:v>
      </x:c>
      <x:c r="B238" s="25" t="n">
        <x:v>10000</x:v>
      </x:c>
      <x:c r="C238" s="25" t="n">
        <x:v>7851.4752747848315</x:v>
      </x:c>
      <x:c r="D238" s="25" t="n">
        <x:v>1484.4884774643917</x:v>
      </x:c>
      <x:c r="E238" s="25" t="n">
        <x:v>758426734.8841242</x:v>
      </x:c>
      <x:c r="F238" s="25" t="n">
        <x:v>75842673.48841242</x:v>
      </x:c>
      <x:c r="G238" s="25" t="n">
        <x:v>34308756.259891175</x:v>
      </x:c>
      <x:c r="H238" s="25" t="n">
        <x:v>74224.42387321958</x:v>
      </x:c>
      <x:c r="I238" s="25" t="n">
        <x:v>50000</x:v>
      </x:c>
      <x:c r="J238" s="25" t="n">
        <x:v>41409692.804648034</x:v>
      </x:c>
      <x:c r="K238" s="30" t="n">
        <x:v>0.0452367442784477</x:v>
      </x:c>
      <x:c r="L238" s="25" t="n">
        <x:v>5459946.346824759</x:v>
      </x:c>
      <x:c r="M238" s="25" t="n">
        <x:v>0.6</x:v>
      </x:c>
      <x:c r="N238" s="25" t="n">
        <x:v>1.5</x:v>
      </x:c>
      <x:c r="O238" s="25" t="n">
        <x:v>0.6</x:v>
      </x:c>
      <x:c r="P238" s="30" t="n">
        <x:v>0.10000000000000002</x:v>
      </x:c>
      <x:c r="Q238" s="25" t="n">
        <x:v>18000368.547705267</x:v>
      </x:c>
      <x:c r="R238" s="25" t="n">
        <x:v>23409324.256942768</x:v>
      </x:c>
    </x:row>
    <x:row r="239" ht="19" customHeight="1">
      <x:c r="A239" s="30" t="str">
        <x:v>surrogate_rules</x:v>
      </x:c>
      <x:c r="B239" s="25" t="n">
        <x:v>10000</x:v>
      </x:c>
      <x:c r="C239" s="25" t="n">
        <x:v>6359.724239599367</x:v>
      </x:c>
      <x:c r="D239" s="25" t="n">
        <x:v>6486.439612374531</x:v>
      </x:c>
      <x:c r="E239" s="25" t="n">
        <x:v>480297873.26294786</x:v>
      </x:c>
      <x:c r="F239" s="25" t="n">
        <x:v>19211914.930517912</x:v>
      </x:c>
      <x:c r="G239" s="25" t="n">
        <x:v>26077698.5279771</x:v>
      </x:c>
      <x:c r="H239" s="25" t="n">
        <x:v>324321.9806187265</x:v>
      </x:c>
      <x:c r="I239" s="25" t="n">
        <x:v>0</x:v>
      </x:c>
      <x:c r="J239" s="25" t="n">
        <x:v>-7190105.578077916</x:v>
      </x:c>
      <x:c r="K239" s="30" t="n">
        <x:v>0.054294844886186674</x:v>
      </x:c>
      <x:c r="L239" s="25" t="n">
        <x:v>-1497009.6638636503</x:v>
      </x:c>
      <x:c r="M239" s="25" t="n">
        <x:v>0.6</x:v>
      </x:c>
      <x:c r="N239" s="25" t="n">
        <x:v>1.5</x:v>
      </x:c>
      <x:c r="O239" s="25" t="n">
        <x:v>0.8</x:v>
      </x:c>
      <x:c r="P239" s="30" t="n">
        <x:v>0.039999999999999994</x:v>
      </x:c>
      <x:c r="Q239" s="25" t="n">
        <x:v>-7190105.578077916</x:v>
      </x:c>
      <x:c r="R239" s="25" t="n">
        <x:v>0</x:v>
      </x:c>
    </x:row>
    <x:row r="240" ht="19" customHeight="1">
      <x:c r="A240" s="30" t="str">
        <x:v>A_conservative</x:v>
      </x:c>
      <x:c r="B240" s="25" t="n">
        <x:v>10000</x:v>
      </x:c>
      <x:c r="C240" s="25" t="n">
        <x:v>6939.81832766059</x:v>
      </x:c>
      <x:c r="D240" s="25" t="n">
        <x:v>2479.2420924837947</x:v>
      </x:c>
      <x:c r="E240" s="25" t="n">
        <x:v>634480022.5464479</x:v>
      </x:c>
      <x:c r="F240" s="25" t="n">
        <x:v>25379200.901857913</x:v>
      </x:c>
      <x:c r="G240" s="25" t="n">
        <x:v>24638151.19127626</x:v>
      </x:c>
      <x:c r="H240" s="25" t="n">
        <x:v>123962.10462418974</x:v>
      </x:c>
      <x:c r="I240" s="25" t="n">
        <x:v>50000</x:v>
      </x:c>
      <x:c r="J240" s="25" t="n">
        <x:v>567087.605957463</x:v>
      </x:c>
      <x:c r="K240" s="30" t="n">
        <x:v>0.038832036180418264</x:v>
      </x:c>
      <x:c r="L240" s="25" t="n">
        <x:v>89378.32332080223</x:v>
      </x:c>
      <x:c r="M240" s="25" t="n">
        <x:v>0.6</x:v>
      </x:c>
      <x:c r="N240" s="25" t="n">
        <x:v>1.5</x:v>
      </x:c>
      <x:c r="O240" s="25" t="n">
        <x:v>0.8</x:v>
      </x:c>
      <x:c r="P240" s="30" t="n">
        <x:v>0.039999999999999994</x:v>
      </x:c>
      <x:c r="Q240" s="25" t="n">
        <x:v>-7190105.578077916</x:v>
      </x:c>
      <x:c r="R240" s="25" t="n">
        <x:v>7757193.184035379</x:v>
      </x:c>
    </x:row>
    <x:row r="241" ht="19" customHeight="1">
      <x:c r="A241" s="30" t="str">
        <x:v>B_balanced</x:v>
      </x:c>
      <x:c r="B241" s="25" t="n">
        <x:v>10000</x:v>
      </x:c>
      <x:c r="C241" s="25" t="n">
        <x:v>8148.372970277712</x:v>
      </x:c>
      <x:c r="D241" s="25" t="n">
        <x:v>1484.4884774643917</x:v>
      </x:c>
      <x:c r="E241" s="25" t="n">
        <x:v>779209573.5686258</x:v>
      </x:c>
      <x:c r="F241" s="25" t="n">
        <x:v>31168382.942745026</x:v>
      </x:c>
      <x:c r="G241" s="25" t="n">
        <x:v>36412079.69302144</x:v>
      </x:c>
      <x:c r="H241" s="25" t="n">
        <x:v>74224.42387321958</x:v>
      </x:c>
      <x:c r="I241" s="25" t="n">
        <x:v>50000</x:v>
      </x:c>
      <x:c r="J241" s="25" t="n">
        <x:v>-5367921.174149632</x:v>
      </x:c>
      <x:c r="K241" s="30" t="n">
        <x:v>0.04672950760379048</x:v>
      </x:c>
      <x:c r="L241" s="25" t="n">
        <x:v>-688893.1240366587</x:v>
      </x:c>
      <x:c r="M241" s="25" t="n">
        <x:v>0.6</x:v>
      </x:c>
      <x:c r="N241" s="25" t="n">
        <x:v>1.5</x:v>
      </x:c>
      <x:c r="O241" s="25" t="n">
        <x:v>0.8</x:v>
      </x:c>
      <x:c r="P241" s="30" t="n">
        <x:v>0.039999999999999994</x:v>
      </x:c>
      <x:c r="Q241" s="25" t="n">
        <x:v>-7190105.578077916</x:v>
      </x:c>
      <x:c r="R241" s="25" t="n">
        <x:v>1822184.4039282836</x:v>
      </x:c>
    </x:row>
    <x:row r="242" ht="19" customHeight="1">
      <x:c r="A242" s="30" t="str">
        <x:v>surrogate_rules</x:v>
      </x:c>
      <x:c r="B242" s="25" t="n">
        <x:v>10000</x:v>
      </x:c>
      <x:c r="C242" s="25" t="n">
        <x:v>6359.724239599367</x:v>
      </x:c>
      <x:c r="D242" s="25" t="n">
        <x:v>6486.439612374531</x:v>
      </x:c>
      <x:c r="E242" s="25" t="n">
        <x:v>480297873.26294786</x:v>
      </x:c>
      <x:c r="F242" s="25" t="n">
        <x:v>33620851.12840635</x:v>
      </x:c>
      <x:c r="G242" s="25" t="n">
        <x:v>26077698.5279771</x:v>
      </x:c>
      <x:c r="H242" s="25" t="n">
        <x:v>324321.9806187265</x:v>
      </x:c>
      <x:c r="I242" s="25" t="n">
        <x:v>0</x:v>
      </x:c>
      <x:c r="J242" s="25" t="n">
        <x:v>7218830.619810525</x:v>
      </x:c>
      <x:c r="K242" s="30" t="n">
        <x:v>0.054294844886186674</x:v>
      </x:c>
      <x:c r="L242" s="25" t="n">
        <x:v>1502990.336136351</x:v>
      </x:c>
      <x:c r="M242" s="25" t="n">
        <x:v>0.6</x:v>
      </x:c>
      <x:c r="N242" s="25" t="n">
        <x:v>1.5</x:v>
      </x:c>
      <x:c r="O242" s="25" t="n">
        <x:v>0.8</x:v>
      </x:c>
      <x:c r="P242" s="30" t="n">
        <x:v>0.07</x:v>
      </x:c>
      <x:c r="Q242" s="25" t="n">
        <x:v>7218830.619810525</x:v>
      </x:c>
      <x:c r="R242" s="25" t="n">
        <x:v>0</x:v>
      </x:c>
    </x:row>
    <x:row r="243" ht="19" customHeight="1">
      <x:c r="A243" s="30" t="str">
        <x:v>A_conservative</x:v>
      </x:c>
      <x:c r="B243" s="25" t="n">
        <x:v>10000</x:v>
      </x:c>
      <x:c r="C243" s="25" t="n">
        <x:v>6939.81832766059</x:v>
      </x:c>
      <x:c r="D243" s="25" t="n">
        <x:v>2479.2420924837947</x:v>
      </x:c>
      <x:c r="E243" s="25" t="n">
        <x:v>634480022.5464479</x:v>
      </x:c>
      <x:c r="F243" s="25" t="n">
        <x:v>44413601.578251354</x:v>
      </x:c>
      <x:c r="G243" s="25" t="n">
        <x:v>24638151.19127626</x:v>
      </x:c>
      <x:c r="H243" s="25" t="n">
        <x:v>123962.10462418974</x:v>
      </x:c>
      <x:c r="I243" s="25" t="n">
        <x:v>50000</x:v>
      </x:c>
      <x:c r="J243" s="25" t="n">
        <x:v>19601488.282350905</x:v>
      </x:c>
      <x:c r="K243" s="30" t="n">
        <x:v>0.038832036180418264</x:v>
      </x:c>
      <x:c r="L243" s="25" t="n">
        <x:v>3089378.323320803</x:v>
      </x:c>
      <x:c r="M243" s="25" t="n">
        <x:v>0.6</x:v>
      </x:c>
      <x:c r="N243" s="25" t="n">
        <x:v>1.5</x:v>
      </x:c>
      <x:c r="O243" s="25" t="n">
        <x:v>0.8</x:v>
      </x:c>
      <x:c r="P243" s="30" t="n">
        <x:v>0.07</x:v>
      </x:c>
      <x:c r="Q243" s="25" t="n">
        <x:v>7218830.619810525</x:v>
      </x:c>
      <x:c r="R243" s="25" t="n">
        <x:v>12382657.66254038</x:v>
      </x:c>
    </x:row>
    <x:row r="244" ht="19" customHeight="1">
      <x:c r="A244" s="30" t="str">
        <x:v>B_balanced</x:v>
      </x:c>
      <x:c r="B244" s="25" t="n">
        <x:v>10000</x:v>
      </x:c>
      <x:c r="C244" s="25" t="n">
        <x:v>8148.372970277712</x:v>
      </x:c>
      <x:c r="D244" s="25" t="n">
        <x:v>1484.4884774643917</x:v>
      </x:c>
      <x:c r="E244" s="25" t="n">
        <x:v>779209573.5686258</x:v>
      </x:c>
      <x:c r="F244" s="25" t="n">
        <x:v>54544670.14980381</x:v>
      </x:c>
      <x:c r="G244" s="25" t="n">
        <x:v>36412079.69302144</x:v>
      </x:c>
      <x:c r="H244" s="25" t="n">
        <x:v>74224.42387321958</x:v>
      </x:c>
      <x:c r="I244" s="25" t="n">
        <x:v>50000</x:v>
      </x:c>
      <x:c r="J244" s="25" t="n">
        <x:v>18008366.03290915</x:v>
      </x:c>
      <x:c r="K244" s="30" t="n">
        <x:v>0.04672950760379048</x:v>
      </x:c>
      <x:c r="L244" s="25" t="n">
        <x:v>2311106.8759633424</x:v>
      </x:c>
      <x:c r="M244" s="25" t="n">
        <x:v>0.6</x:v>
      </x:c>
      <x:c r="N244" s="25" t="n">
        <x:v>1.5</x:v>
      </x:c>
      <x:c r="O244" s="25" t="n">
        <x:v>0.8</x:v>
      </x:c>
      <x:c r="P244" s="30" t="n">
        <x:v>0.07</x:v>
      </x:c>
      <x:c r="Q244" s="25" t="n">
        <x:v>7218830.619810525</x:v>
      </x:c>
      <x:c r="R244" s="25" t="n">
        <x:v>10789535.413098626</x:v>
      </x:c>
    </x:row>
    <x:row r="245" ht="19" customHeight="1">
      <x:c r="A245" s="30" t="str">
        <x:v>surrogate_rules</x:v>
      </x:c>
      <x:c r="B245" s="25" t="n">
        <x:v>10000</x:v>
      </x:c>
      <x:c r="C245" s="25" t="n">
        <x:v>6359.724239599367</x:v>
      </x:c>
      <x:c r="D245" s="25" t="n">
        <x:v>6486.439612374531</x:v>
      </x:c>
      <x:c r="E245" s="25" t="n">
        <x:v>480297873.26294786</x:v>
      </x:c>
      <x:c r="F245" s="25" t="n">
        <x:v>48029787.326294795</x:v>
      </x:c>
      <x:c r="G245" s="25" t="n">
        <x:v>26077698.5279771</x:v>
      </x:c>
      <x:c r="H245" s="25" t="n">
        <x:v>324321.9806187265</x:v>
      </x:c>
      <x:c r="I245" s="25" t="n">
        <x:v>0</x:v>
      </x:c>
      <x:c r="J245" s="25" t="n">
        <x:v>21627766.817698967</x:v>
      </x:c>
      <x:c r="K245" s="30" t="n">
        <x:v>0.054294844886186674</x:v>
      </x:c>
      <x:c r="L245" s="25" t="n">
        <x:v>4502990.336136352</x:v>
      </x:c>
      <x:c r="M245" s="25" t="n">
        <x:v>0.6</x:v>
      </x:c>
      <x:c r="N245" s="25" t="n">
        <x:v>1.5</x:v>
      </x:c>
      <x:c r="O245" s="25" t="n">
        <x:v>0.8</x:v>
      </x:c>
      <x:c r="P245" s="30" t="n">
        <x:v>0.10000000000000002</x:v>
      </x:c>
      <x:c r="Q245" s="25" t="n">
        <x:v>21627766.817698967</x:v>
      </x:c>
      <x:c r="R245" s="25" t="n">
        <x:v>0</x:v>
      </x:c>
    </x:row>
    <x:row r="246" ht="19" customHeight="1">
      <x:c r="A246" s="30" t="str">
        <x:v>A_conservative</x:v>
      </x:c>
      <x:c r="B246" s="25" t="n">
        <x:v>10000</x:v>
      </x:c>
      <x:c r="C246" s="25" t="n">
        <x:v>6939.81832766059</x:v>
      </x:c>
      <x:c r="D246" s="25" t="n">
        <x:v>2479.2420924837947</x:v>
      </x:c>
      <x:c r="E246" s="25" t="n">
        <x:v>634480022.5464479</x:v>
      </x:c>
      <x:c r="F246" s="25" t="n">
        <x:v>63448002.254644796</x:v>
      </x:c>
      <x:c r="G246" s="25" t="n">
        <x:v>24638151.19127626</x:v>
      </x:c>
      <x:c r="H246" s="25" t="n">
        <x:v>123962.10462418974</x:v>
      </x:c>
      <x:c r="I246" s="25" t="n">
        <x:v>50000</x:v>
      </x:c>
      <x:c r="J246" s="25" t="n">
        <x:v>38635888.95874435</x:v>
      </x:c>
      <x:c r="K246" s="30" t="n">
        <x:v>0.038832036180418264</x:v>
      </x:c>
      <x:c r="L246" s="25" t="n">
        <x:v>6089378.323320804</x:v>
      </x:c>
      <x:c r="M246" s="25" t="n">
        <x:v>0.6</x:v>
      </x:c>
      <x:c r="N246" s="25" t="n">
        <x:v>1.5</x:v>
      </x:c>
      <x:c r="O246" s="25" t="n">
        <x:v>0.8</x:v>
      </x:c>
      <x:c r="P246" s="30" t="n">
        <x:v>0.10000000000000002</x:v>
      </x:c>
      <x:c r="Q246" s="25" t="n">
        <x:v>21627766.817698967</x:v>
      </x:c>
      <x:c r="R246" s="25" t="n">
        <x:v>17008122.14104538</x:v>
      </x:c>
    </x:row>
    <x:row r="247" ht="19" customHeight="1">
      <x:c r="A247" s="30" t="str">
        <x:v>B_balanced</x:v>
      </x:c>
      <x:c r="B247" s="25" t="n">
        <x:v>10000</x:v>
      </x:c>
      <x:c r="C247" s="25" t="n">
        <x:v>8148.372970277712</x:v>
      </x:c>
      <x:c r="D247" s="25" t="n">
        <x:v>1484.4884774643917</x:v>
      </x:c>
      <x:c r="E247" s="25" t="n">
        <x:v>779209573.5686258</x:v>
      </x:c>
      <x:c r="F247" s="25" t="n">
        <x:v>77920957.35686259</x:v>
      </x:c>
      <x:c r="G247" s="25" t="n">
        <x:v>36412079.69302144</x:v>
      </x:c>
      <x:c r="H247" s="25" t="n">
        <x:v>74224.42387321958</x:v>
      </x:c>
      <x:c r="I247" s="25" t="n">
        <x:v>50000</x:v>
      </x:c>
      <x:c r="J247" s="25" t="n">
        <x:v>41384653.239967935</x:v>
      </x:c>
      <x:c r="K247" s="30" t="n">
        <x:v>0.04672950760379048</x:v>
      </x:c>
      <x:c r="L247" s="25" t="n">
        <x:v>5311106.875963343</x:v>
      </x:c>
      <x:c r="M247" s="25" t="n">
        <x:v>0.6</x:v>
      </x:c>
      <x:c r="N247" s="25" t="n">
        <x:v>1.5</x:v>
      </x:c>
      <x:c r="O247" s="25" t="n">
        <x:v>0.8</x:v>
      </x:c>
      <x:c r="P247" s="30" t="n">
        <x:v>0.10000000000000002</x:v>
      </x:c>
      <x:c r="Q247" s="25" t="n">
        <x:v>21627766.817698967</x:v>
      </x:c>
      <x:c r="R247" s="25" t="n">
        <x:v>19756886.422268968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26b8b5643c724e43"/>
  </x:tableParts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27" customHeight="1">
      <x:c r="A1" s="12" t="str">
        <x:v>需求追踪 | 项目验收边界</x:v>
      </x:c>
      <x:c r="B1" s="12"/>
      <x:c r="C1" s="12"/>
      <x:c r="D1" s="12"/>
      <x:c r="E1" s="12"/>
    </x:row>
    <x:row r="2" ht="32" customHeight="1">
      <x:c r="A2" s="15" t="str">
        <x:v>来源：docs/requirements_matrix.csv；缺历史数据与证券字段的条目明确未实证完成</x:v>
      </x:c>
      <x:c r="B2" s="15"/>
      <x:c r="C2" s="15"/>
      <x:c r="D2" s="15"/>
      <x:c r="E2" s="15"/>
    </x:row>
    <x:row r="4" ht="42" customHeight="1">
      <x:c r="A4" s="20" t="str">
        <x:v>阶段</x:v>
      </x:c>
      <x:c r="B4" s="20" t="str">
        <x:v>要求</x:v>
      </x:c>
      <x:c r="C4" s="20" t="str">
        <x:v>状态</x:v>
      </x:c>
      <x:c r="D4" s="20" t="str">
        <x:v>证据路径</x:v>
      </x:c>
      <x:c r="E4" s="20" t="str">
        <x:v>边界或解释</x:v>
      </x:c>
    </x:row>
    <x:row r="5" ht="19" customHeight="1">
      <x:c r="A5" s="25" t="str">
        <x:v>反馈修订</x:v>
      </x:c>
      <x:c r="B5" s="25" t="str">
        <x:v>替换双外部评分交叉主线</x:v>
      </x:c>
      <x:c r="C5" s="25" t="str">
        <x:v>已实算</x:v>
      </x:c>
      <x:c r="D5" s="25" t="str">
        <x:v>outputs/phase1/cross_business_fit.csv</x:v>
      </x:c>
      <x:c r="E5" s="25" t="str">
        <x:v>EXT2 × 就业时长 × 贷款收入比；相关性与增量价值另外验证</x:v>
      </x:c>
    </x:row>
    <x:row r="6" ht="19" customHeight="1">
      <x:c r="A6" s="25" t="str">
        <x:v>反馈修订</x:v>
      </x:c>
      <x:c r="B6" s="25" t="str">
        <x:v>全部关键数值变量WOE/IV</x:v>
      </x:c>
      <x:c r="C6" s="25" t="str">
        <x:v>已实算</x:v>
      </x:c>
      <x:c r="D6" s="25" t="str">
        <x:v>outputs/phase1/numeric_woe_bins_fit.csv</x:v>
      </x:c>
      <x:c r="E6" s="25" t="str">
        <x:v>拟合集确定分箱；不复用此前全样本WOE映射</x:v>
      </x:c>
    </x:row>
    <x:row r="7" ht="19" customHeight="1">
      <x:c r="A7" s="25" t="str">
        <x:v>反馈修订</x:v>
      </x:c>
      <x:c r="B7" s="25" t="str">
        <x:v>PDF报告与函数Args/Returns</x:v>
      </x:c>
      <x:c r="C7" s="25" t="str">
        <x:v>已交付</x:v>
      </x:c>
      <x:c r="D7" s="25" t="str">
        <x:v>reports/; src/credit_risk/</x:v>
      </x:c>
      <x:c r="E7" s="25" t="str">
        <x:v>每个阶段独立报告；函数类型与文档自动检查</x:v>
      </x:c>
    </x:row>
    <x:row r="8" ht="19" customHeight="1">
      <x:c r="A8" s="25" t="str">
        <x:v>第一阶段</x:v>
      </x:c>
      <x:c r="B8" s="25" t="str">
        <x:v>多表关联与历史行为聚合</x:v>
      </x:c>
      <x:c r="C8" s="25" t="str">
        <x:v>输入缺失，未实证完成</x:v>
      </x:c>
      <x:c r="D8" s="25" t="str">
        <x:v>data/README.md</x:v>
      </x:c>
      <x:c r="E8" s="25" t="str">
        <x:v>六张历史明细表未提供，不伪造历史逾期/额度使用率特征</x:v>
      </x:c>
    </x:row>
    <x:row r="9" ht="19" customHeight="1">
      <x:c r="A9" s="25" t="str">
        <x:v>第二阶段</x:v>
      </x:c>
      <x:c r="B9" s="25" t="str">
        <x:v>缺失分层、盖帽与异常标记</x:v>
      </x:c>
      <x:c r="C9" s="25" t="str">
        <x:v>已实算</x:v>
      </x:c>
      <x:c r="D9" s="25" t="str">
        <x:v>outputs/phase2/preprocessing_fit.csv</x:v>
      </x:c>
      <x:c r="E9" s="25" t="str">
        <x:v>低缺失填充；中高缺失标记；训练分位数盖帽</x:v>
      </x:c>
    </x:row>
    <x:row r="10" ht="19" customHeight="1">
      <x:c r="A10" s="25" t="str">
        <x:v>第二阶段</x:v>
      </x:c>
      <x:c r="B10" s="25" t="str">
        <x:v>类别编码与WOE说明</x:v>
      </x:c>
      <x:c r="C10" s="25" t="str">
        <x:v>已实算</x:v>
      </x:c>
      <x:c r="D10" s="25" t="str">
        <x:v>outputs/phase2/encoding_imbalance_validation.csv</x:v>
      </x:c>
      <x:c r="E10" s="25" t="str">
        <x:v>WOE逻辑回归、OneHot对照、LightGBM原生类别；不把无序类别编码解释为大小</x:v>
      </x:c>
    </x:row>
    <x:row r="11" ht="19" customHeight="1">
      <x:c r="A11" s="25" t="str">
        <x:v>第二阶段</x:v>
      </x:c>
      <x:c r="B11" s="25" t="str">
        <x:v>业务衍生特征体系</x:v>
      </x:c>
      <x:c r="C11" s="25" t="str">
        <x:v>主表可支持项已实算</x:v>
      </x:c>
      <x:c r="D11" s="25" t="str">
        <x:v>outputs/phase2/final_feature_manifest.json</x:v>
      </x:c>
      <x:c r="E11" s="25" t="str">
        <x:v>仅收入、贷款、就业等主表衍生；不是完整历史特征体系</x:v>
      </x:c>
    </x:row>
    <x:row r="12" ht="19" customHeight="1">
      <x:c r="A12" s="25" t="str">
        <x:v>第二阶段</x:v>
      </x:c>
      <x:c r="B12" s="25" t="str">
        <x:v>证券资产/持仓/保证金特征</x:v>
      </x:c>
      <x:c r="C12" s="25" t="str">
        <x:v>字段缺失，未实证完成</x:v>
      </x:c>
      <x:c r="D12" s="25" t="str">
        <x:v>docs/人工复核与业务边界.md</x:v>
      </x:c>
      <x:c r="E12" s="25" t="str">
        <x:v>真实账户资产波动、持仓集中度、维持担保比例不能计算</x:v>
      </x:c>
    </x:row>
    <x:row r="13" ht="19" customHeight="1">
      <x:c r="A13" s="25" t="str">
        <x:v>第二阶段</x:v>
      </x:c>
      <x:c r="B13" s="25" t="str">
        <x:v>方差/IV/相关性/VIF筛选</x:v>
      </x:c>
      <x:c r="C13" s="25" t="str">
        <x:v>已实算</x:v>
      </x:c>
      <x:c r="D13" s="25" t="str">
        <x:v>outputs/phase2/feature_screening.csv; vif_selected_fit.csv</x:v>
      </x:c>
      <x:c r="E13" s="25" t="str">
        <x:v>筛选基于拟合集；LR和树模型采用不同适配策略</x:v>
      </x:c>
    </x:row>
    <x:row r="14" ht="19" customHeight="1">
      <x:c r="A14" s="25" t="str">
        <x:v>第二阶段</x:v>
      </x:c>
      <x:c r="B14" s="25" t="str">
        <x:v>7:3分层划分与逻辑回归</x:v>
      </x:c>
      <x:c r="C14" s="25" t="str">
        <x:v>已实算</x:v>
      </x:c>
      <x:c r="D14" s="25" t="str">
        <x:v>outputs/phase2/split_counts.csv; logistic_tuning.csv</x:v>
      </x:c>
      <x:c r="E14" s="25" t="str">
        <x:v>70%开发集内额外分拟合、调参、校准、阈值四组</x:v>
      </x:c>
    </x:row>
    <x:row r="15" ht="19" customHeight="1">
      <x:c r="A15" s="25" t="str">
        <x:v>第二阶段</x:v>
      </x:c>
      <x:c r="B15" s="25" t="str">
        <x:v>LightGBM基线与统一指标</x:v>
      </x:c>
      <x:c r="C15" s="25" t="str">
        <x:v>已实算</x:v>
      </x:c>
      <x:c r="D15" s="25" t="str">
        <x:v>outputs/phase3/test_model_metrics.csv</x:v>
      </x:c>
      <x:c r="E15" s="25" t="str">
        <x:v>AUC、KS、Gini、AP、Brier、精确率、召回率及混淆计数</x:v>
      </x:c>
    </x:row>
    <x:row r="16" ht="19" customHeight="1">
      <x:c r="A16" s="25" t="str">
        <x:v>第二阶段</x:v>
      </x:c>
      <x:c r="B16" s="25" t="str">
        <x:v>WOE系数/评分卡业务解释</x:v>
      </x:c>
      <x:c r="C16" s="25" t="str">
        <x:v>已实算</x:v>
      </x:c>
      <x:c r="D16" s="25" t="str">
        <x:v>outputs/phase2/logistic_coefficients.csv; logistic_scorecard.csv</x:v>
      </x:c>
      <x:c r="E16" s="25" t="str">
        <x:v>分数为600分、PDO20、好坏比50:1的演示转换</x:v>
      </x:c>
    </x:row>
    <x:row r="17" ht="19" customHeight="1">
      <x:c r="A17" s="25" t="str">
        <x:v>第三阶段</x:v>
      </x:c>
      <x:c r="B17" s="25" t="str">
        <x:v>至少三轮迭代与调参记录</x:v>
      </x:c>
      <x:c r="C17" s="25" t="str">
        <x:v>已实算</x:v>
      </x:c>
      <x:c r="D17" s="25" t="str">
        <x:v>outputs/phase3/iteration_validation_metrics.csv</x:v>
      </x:c>
      <x:c r="E17" s="25" t="str">
        <x:v>R0基线/R1八组网格/R2类别权重/R3交叉特征</x:v>
      </x:c>
    </x:row>
    <x:row r="18" ht="19" customHeight="1">
      <x:c r="A18" s="25" t="str">
        <x:v>第三阶段</x:v>
      </x:c>
      <x:c r="B18" s="25" t="str">
        <x:v>不平衡与阈值方案比较</x:v>
      </x:c>
      <x:c r="C18" s="25" t="str">
        <x:v>已实算</x:v>
      </x:c>
      <x:c r="D18" s="25" t="str">
        <x:v>outputs/phase2/encoding_imbalance_validation.csv</x:v>
      </x:c>
      <x:c r="E18" s="25" t="str">
        <x:v>训练端SMOTE、类别权重；阈值只在策略集选择</x:v>
      </x:c>
    </x:row>
    <x:row r="19" ht="19" customHeight="1">
      <x:c r="A19" s="25" t="str">
        <x:v>第三阶段</x:v>
      </x:c>
      <x:c r="B19" s="25" t="str">
        <x:v>模型校准与验证稳定性</x:v>
      </x:c>
      <x:c r="C19" s="25" t="str">
        <x:v>已实算，有边界</x:v>
      </x:c>
      <x:c r="D19" s="25" t="str">
        <x:v>outputs/phase3/calibration_final.csv; development_cv.csv</x:v>
      </x:c>
      <x:c r="E19" s="25" t="str">
        <x:v>后选择CV诊断与随机切分PSI不能替代跨时间/外部验证</x:v>
      </x:c>
    </x:row>
    <x:row r="20" ht="19" customHeight="1">
      <x:c r="A20" s="25" t="str">
        <x:v>第三阶段</x:v>
      </x:c>
      <x:c r="B20" s="25" t="str">
        <x:v>SHAP全局及高低风险各3例</x:v>
      </x:c>
      <x:c r="C20" s="25" t="str">
        <x:v>已实算</x:v>
      </x:c>
      <x:c r="D20" s="25" t="str">
        <x:v>outputs/phase3/shap_global_importance.csv; shap_force_*.png</x:v>
      </x:c>
      <x:c r="E20" s="25" t="str">
        <x:v>共6例，校准logit下可加；不因果、不保证预测正确</x:v>
      </x:c>
    </x:row>
    <x:row r="21" ht="19" customHeight="1">
      <x:c r="A21" s="25" t="str">
        <x:v>第三阶段</x:v>
      </x:c>
      <x:c r="B21" s="25" t="str">
        <x:v>敏感属性偏差审计</x:v>
      </x:c>
      <x:c r="C21" s="25" t="str">
        <x:v>已实算，未宣称合规通过</x:v>
      </x:c>
      <x:c r="D21" s="25" t="str">
        <x:v>outputs/phase3/fairness_test_groups.csv</x:v>
      </x:c>
      <x:c r="E21" s="25" t="str">
        <x:v>排除直接性别/年龄仍存在组间差异，需要机构审查</x:v>
      </x:c>
    </x:row>
    <x:row r="22" ht="19" customHeight="1">
      <x:c r="A22" s="25" t="str">
        <x:v>第三阶段</x:v>
      </x:c>
      <x:c r="B22" s="25" t="str">
        <x:v>两套三档风险阈值</x:v>
      </x:c>
      <x:c r="C22" s="25" t="str">
        <x:v>已实算</x:v>
      </x:c>
      <x:c r="D22" s="25" t="str">
        <x:v>outputs/phase3/frozen_policies.json; strategy_tiers_test.csv</x:v>
      </x:c>
      <x:c r="E22" s="25" t="str">
        <x:v>低风险通过/中风险复核/高风险拒绝仅离线策略模拟</x:v>
      </x:c>
    </x:row>
    <x:row r="23" ht="19" customHeight="1">
      <x:c r="A23" s="25" t="str">
        <x:v>第三阶段</x:v>
      </x:c>
      <x:c r="B23" s="25" t="str">
        <x:v>旧规则与模型效果对比</x:v>
      </x:c>
      <x:c r="C23" s="25" t="str">
        <x:v>代理规则仿真</x:v>
      </x:c>
      <x:c r="D23" s="25" t="str">
        <x:v>outputs/phase3/strategy_test_metrics.csv</x:v>
      </x:c>
      <x:c r="E23" s="25" t="str">
        <x:v>无机构原规则，使用明确自拟的surrogate；不是银行真实旧系统</x:v>
      </x:c>
    </x:row>
    <x:row r="24" ht="19" customHeight="1">
      <x:c r="A24" s="25" t="str">
        <x:v>第三阶段</x:v>
      </x:c>
      <x:c r="B24" s="25" t="str">
        <x:v>额度系数与人工复核清单</x:v>
      </x:c>
      <x:c r="C24" s="25" t="str">
        <x:v>假设方案已交付</x:v>
      </x:c>
      <x:c r="D24" s="25" t="str">
        <x:v>docs/人工复核与业务边界.md</x:v>
      </x:c>
      <x:c r="E24" s="25" t="str">
        <x:v>低风险标准额度/复核70%仅情景假设；保证金等由实际制度确定</x:v>
      </x:c>
    </x:row>
    <x:row r="25" ht="19" customHeight="1">
      <x:c r="A25" s="25" t="str">
        <x:v>第四阶段</x:v>
      </x:c>
      <x:c r="B25" s="25" t="str">
        <x:v>收益、损失与效率评估</x:v>
      </x:c>
      <x:c r="C25" s="25" t="str">
        <x:v>情景仿真已实算</x:v>
      </x:c>
      <x:c r="D25" s="25" t="str">
        <x:v>outputs/phase4/economic_base_scenario.csv</x:v>
      </x:c>
      <x:c r="E25" s="25" t="str">
        <x:v>TARGET→年度PD、LGD、资金成本、人工复核均显式假设</x:v>
      </x:c>
    </x:row>
    <x:row r="26" ht="19" customHeight="1">
      <x:c r="A26" s="25" t="str">
        <x:v>第四阶段</x:v>
      </x:c>
      <x:c r="B26" s="25" t="str">
        <x:v>敏感性与适用边界</x:v>
      </x:c>
      <x:c r="C26" s="25" t="str">
        <x:v>已实算/已说明</x:v>
      </x:c>
      <x:c r="D26" s="25" t="str">
        <x:v>outputs/phase4/economic_sensitivity.csv</x:v>
      </x:c>
      <x:c r="E26" s="25" t="str">
        <x:v>243条情景；没有实际ROI、实际坏账下降或上线承诺</x:v>
      </x:c>
    </x:row>
    <x:row r="27" ht="19" customHeight="1">
      <x:c r="A27" s="25" t="str">
        <x:v>第四阶段</x:v>
      </x:c>
      <x:c r="B27" s="25" t="str">
        <x:v>落地可行性与里程碑</x:v>
      </x:c>
      <x:c r="C27" s="25" t="str">
        <x:v>已交付</x:v>
      </x:c>
      <x:c r="D27" s="25" t="str">
        <x:v>reports/phase4/第四阶段_价值评估与交付说明.pdf</x:v>
      </x:c>
      <x:c r="E27" s="25" t="str">
        <x:v>数据许可、时间验证、代理偏差、影子试运行是前置条件</x:v>
      </x:c>
    </x:row>
    <x:row r="28" ht="19" customHeight="1">
      <x:c r="A28" s="25" t="str">
        <x:v>第四阶段</x:v>
      </x:c>
      <x:c r="B28" s="25" t="str">
        <x:v>技术文档与问题记录</x:v>
      </x:c>
      <x:c r="C28" s="25" t="str">
        <x:v>已交付</x:v>
      </x:c>
      <x:c r="D28" s="25" t="str">
        <x:v>docs/复现与问题登记.md; README.md</x:v>
      </x:c>
      <x:c r="E28" s="25" t="str">
        <x:v>原数据不打包；固定种子、依赖、命令、数据校验及产物追踪</x:v>
      </x:c>
    </x:row>
    <x:row r="29" ht="19" customHeight="1">
      <x:c r="A29" s="25" t="str">
        <x:v>第四阶段</x:v>
      </x:c>
      <x:c r="B29" s="25" t="str">
        <x:v>不超过5页的结项总结</x:v>
      </x:c>
      <x:c r="C29" s="25" t="str">
        <x:v>已交付，5页</x:v>
      </x:c>
      <x:c r="D29" s="25" t="str">
        <x:v>reports/final/项目结项总结_5页.pdf</x:v>
      </x:c>
      <x:c r="E29" s="25" t="str">
        <x:v>总结与阶段附件分开；本周不另写周报</x:v>
      </x:c>
    </x:row>
    <x:row r="30" ht="19" customHeight="1">
      <x:c r="A30" s="25" t="str">
        <x:v>第四阶段</x:v>
      </x:c>
      <x:c r="B30" s="25" t="str">
        <x:v>单页摘要与答辩准备</x:v>
      </x:c>
      <x:c r="C30" s="25" t="str">
        <x:v>已交付</x:v>
      </x:c>
      <x:c r="D30" s="25" t="str">
        <x:v>reports/final/项目核心摘要_1页.pdf; docs/答辩要点.md</x:v>
      </x:c>
      <x:c r="E30" s="25" t="str">
        <x:v>覆盖业务问题、方法、真实指标、限制与后续条件</x:v>
      </x:c>
    </x:row>
    <x:row r="31" ht="19" customHeight="1">
      <x:c r="A31" s="25" t="str">
        <x:v>工程</x:v>
      </x:c>
      <x:c r="B31" s="25" t="str">
        <x:v>可运行代码、测试与模型文件</x:v>
      </x:c>
      <x:c r="C31" s="25" t="str">
        <x:v>已运行；详见QA</x:v>
      </x:c>
      <x:c r="D31" s="25" t="str">
        <x:v>outputs/qa/; models/model_bundle.joblib</x:v>
      </x:c>
      <x:c r="E31" s="25" t="str">
        <x:v>模型文件只加载可信来源；仅供研究</x:v>
      </x:c>
    </x:row>
    <x:row r="32" ht="19" customHeight="1">
      <x:c r="A32" s="25" t="str">
        <x:v>工程</x:v>
      </x:c>
      <x:c r="B32" s="25" t="str">
        <x:v>Black/isort/flake8/mypy/pylint</x:v>
      </x:c>
      <x:c r="C32" s="25" t="str">
        <x:v>提供配置，当前环境未执行</x:v>
      </x:c>
      <x:c r="D32" s="25" t="str">
        <x:v>requirements-dev.txt; .github/workflows/tooling.yml</x:v>
      </x:c>
      <x:c r="E32" s="25" t="str">
        <x:v>离线环境缺少这些工具；不得将内置检查等同其通过</x:v>
      </x:c>
    </x:row>
    <x:row r="33" ht="19" customHeight="1">
      <x:c r="A33" s="25" t="str">
        <x:v>验收</x:v>
      </x:c>
      <x:c r="B33" s="25" t="str">
        <x:v>达到行业通用基准与监管合规</x:v>
      </x:c>
      <x:c r="C33" s="25" t="str">
        <x:v>来源未给数值门槛，未认证</x:v>
      </x:c>
      <x:c r="D33" s="25" t="str">
        <x:v>reports/final/项目结项总结_5页.pdf</x:v>
      </x:c>
      <x:c r="E33" s="25" t="str">
        <x:v>实测AUC约0.7336，不套用预设0.78；不虚构行业门槛或监管审批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bf15c3df5cb42e9"/>
  </x:tableParts>
</x:worksheet>
</file>

<file path=xl/worksheets/sheet1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20" hidden="0" customWidth="1"/>
    <x:col min="3" max="3" width="20" hidden="0" customWidth="1"/>
    <x:col min="4" max="4" width="56" hidden="0" customWidth="1"/>
  </x:cols>
  <x:sheetData>
    <x:row r="1" ht="30" customHeight="1">
      <x:c r="A1" s="12" t="str">
        <x:v>经济测算假设 | 黄色单元格可改，非真实银行参数</x:v>
      </x:c>
      <x:c r="B1" s="12"/>
      <x:c r="C1" s="12"/>
      <x:c r="D1" s="12"/>
    </x:row>
    <x:row r="3" ht="38" customHeight="1">
      <x:c r="A3" s="20" t="str">
        <x:v>参数</x:v>
      </x:c>
      <x:c r="B3" s="20" t="str">
        <x:v>可调值</x:v>
      </x:c>
      <x:c r="C3" s="20" t="str">
        <x:v>单位</x:v>
      </x:c>
      <x:c r="D3" s="20" t="str">
        <x:v>来源 / 解释</x:v>
      </x:c>
    </x:row>
    <x:row r="4" ht="30" customHeight="1">
      <x:c r="A4" t="str">
        <x:v>归一化申请人数</x:v>
      </x:c>
      <x:c r="B4" s="40" t="n">
        <x:v>10000</x:v>
      </x:c>
      <x:c r="C4" t="str">
        <x:v>人</x:v>
      </x:c>
      <x:c r="D4" s="8" t="str">
        <x:v>研究情景设定；并非银行真实业务量</x:v>
      </x:c>
    </x:row>
    <x:row r="5" ht="30" customHeight="1">
      <x:c r="A5" t="str">
        <x:v>每笔标准敞口</x:v>
      </x:c>
      <x:c r="B5" s="40" t="n">
        <x:v>100000</x:v>
      </x:c>
      <x:c r="C5" t="str">
        <x:v>人民币元</x:v>
      </x:c>
      <x:c r="D5" s="8" t="str">
        <x:v>研究情景设定；不使用Home Credit金额货币单位</x:v>
      </x:c>
    </x:row>
    <x:row r="6" ht="30" customHeight="1">
      <x:c r="A6" t="str">
        <x:v>贷款年收益率</x:v>
      </x:c>
      <x:c r="B6" s="44" t="n">
        <x:v>0.12</x:v>
      </x:c>
      <x:c r="C6" t="str">
        <x:v>比例</x:v>
      </x:c>
      <x:c r="D6" s="8" t="str">
        <x:v>研究假设；不是金融产品报价</x:v>
      </x:c>
    </x:row>
    <x:row r="7" ht="30" customHeight="1">
      <x:c r="A7" t="str">
        <x:v>资金年成本率</x:v>
      </x:c>
      <x:c r="B7" s="44" t="n">
        <x:v>0.05</x:v>
      </x:c>
      <x:c r="C7" t="str">
        <x:v>比例</x:v>
      </x:c>
      <x:c r="D7" s="8" t="str">
        <x:v>研究假设</x:v>
      </x:c>
    </x:row>
    <x:row r="8" ht="30" customHeight="1">
      <x:c r="A8" t="str">
        <x:v>损失给定违约率LGD</x:v>
      </x:c>
      <x:c r="B8" s="44" t="n">
        <x:v>0.45</x:v>
      </x:c>
      <x:c r="C8" t="str">
        <x:v>比例</x:v>
      </x:c>
      <x:c r="D8" s="8" t="str">
        <x:v>研究假设，缺少实际回收记录</x:v>
      </x:c>
    </x:row>
    <x:row r="9" ht="30" customHeight="1">
      <x:c r="A9" t="str">
        <x:v>每笔人工复核成本</x:v>
      </x:c>
      <x:c r="B9" s="40" t="n">
        <x:v>50</x:v>
      </x:c>
      <x:c r="C9" t="str">
        <x:v>人民币元</x:v>
      </x:c>
      <x:c r="D9" s="8" t="str">
        <x:v>研究假设</x:v>
      </x:c>
    </x:row>
    <x:row r="10" ht="30" customHeight="1">
      <x:c r="A10" t="str">
        <x:v>中风险人工通过率</x:v>
      </x:c>
      <x:c r="B10" s="44" t="n">
        <x:v>0.6</x:v>
      </x:c>
      <x:c r="C10" t="str">
        <x:v>比例</x:v>
      </x:c>
      <x:c r="D10" s="8" t="str">
        <x:v>随机60%通过假设，不使用完美人工审核假设</x:v>
      </x:c>
    </x:row>
    <x:row r="11" ht="30" customHeight="1">
      <x:c r="A11" t="str">
        <x:v>复核通过额度系数</x:v>
      </x:c>
      <x:c r="B11" s="44" t="n">
        <x:v>0.7</x:v>
      </x:c>
      <x:c r="C11" t="str">
        <x:v>倍</x:v>
      </x:c>
      <x:c r="D11" s="8" t="str">
        <x:v>研究假设，标准额度的70%</x:v>
      </x:c>
    </x:row>
    <x:row r="12" ht="30" customHeight="1">
      <x:c r="A12" t="str">
        <x:v>TARGET至年度PD系数</x:v>
      </x:c>
      <x:c r="B12" s="40" t="n">
        <x:v>1</x:v>
      </x:c>
      <x:c r="C12" t="str">
        <x:v>倍</x:v>
      </x:c>
      <x:c r="D12" s="8" t="str">
        <x:v>未经验证的映射；不能当作真实年度PD</x:v>
      </x:c>
    </x:row>
    <x:row r="13" ht="30" customHeight="1">
      <x:c r="A13" t="str">
        <x:v>模型策略固定成本</x:v>
      </x:c>
      <x:c r="B13" s="40" t="n">
        <x:v>50000</x:v>
      </x:c>
      <x:c r="C13" t="str">
        <x:v>人民币元</x:v>
      </x:c>
      <x:c r="D13" s="8" t="str">
        <x:v>研究假设；示例旧规则固定成本为0</x:v>
      </x:c>
    </x:row>
    <x:row r="14" ht="30" customHeight="1">
      <x:c r="A14" t="str">
        <x:v>归一化比较敞口</x:v>
      </x:c>
      <x:c r="B14" s="40" t="n">
        <x:v>100000000</x:v>
      </x:c>
      <x:c r="C14" t="str">
        <x:v>人民币元</x:v>
      </x:c>
      <x:c r="D14" s="8" t="str">
        <x:v>统一每亿元已批准敞口比较，不是额外业务规模假设</x:v>
      </x:c>
    </x:row>
  </x:sheetData>
  <x:mergeCells>
    <x:mergeCell ref="A1:D1"/>
  </x:mergeCells>
  <x:pageMargins left="0.7" right="0.7" top="0.75" bottom="0.75" header="0.3" footer="0.3"/>
  <x:legacyDrawing xmlns:r="http://schemas.openxmlformats.org/officeDocument/2006/relationships" r:id="Ra636e132cdc543f3"/>
</x:worksheet>
</file>

<file path=xl/worksheets/sheet1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0" customHeight="1">
      <x:c r="A1" s="12" t="str">
        <x:v>冻结测试集分层计数 | 来源 strategy_tiers_test.csv</x:v>
      </x:c>
      <x:c r="B1" s="12"/>
      <x:c r="C1" s="12"/>
      <x:c r="D1" s="12"/>
      <x:c r="E1" s="12"/>
      <x:c r="F1" s="12"/>
      <x:c r="G1" s="12"/>
    </x:row>
    <x:row r="3" ht="38" customHeight="1">
      <x:c r="A3" s="20" t="str">
        <x:v>策略</x:v>
      </x:c>
      <x:c r="B3" s="20" t="str">
        <x:v>低风险人数</x:v>
      </x:c>
      <x:c r="C3" s="20" t="str">
        <x:v>低风险TARGET=1</x:v>
      </x:c>
      <x:c r="D3" s="20" t="str">
        <x:v>复核人数</x:v>
      </x:c>
      <x:c r="E3" s="20" t="str">
        <x:v>复核TARGET=1</x:v>
      </x:c>
      <x:c r="F3" s="20" t="str">
        <x:v>高风险人数</x:v>
      </x:c>
      <x:c r="G3" s="20" t="str">
        <x:v>测试总人数</x:v>
      </x:c>
    </x:row>
    <x:row r="4">
      <x:c r="A4" t="str">
        <x:v>surrogate_rules</x:v>
      </x:c>
      <x:c r="B4" s="46" t="n">
        <x:v>10799</x:v>
      </x:c>
      <x:c r="C4" s="46" t="n">
        <x:v>437</x:v>
      </x:c>
      <x:c r="D4" s="46" t="n">
        <x:v>59840</x:v>
      </x:c>
      <x:c r="E4" s="46" t="n">
        <x:v>3993</x:v>
      </x:c>
      <x:c r="F4" s="46" t="n">
        <x:v>21615</x:v>
      </x:c>
      <x:c r="G4" s="46" t="n">
        <x:v>92254</x:v>
      </x:c>
    </x:row>
    <x:row r="5">
      <x:c r="A5" t="str">
        <x:v>A_conservative</x:v>
      </x:c>
      <x:c r="B5" s="46" t="n">
        <x:v>45725</x:v>
      </x:c>
      <x:c r="C5" s="46" t="n">
        <x:v>1522</x:v>
      </x:c>
      <x:c r="D5" s="46" t="n">
        <x:v>22872</x:v>
      </x:c>
      <x:c r="E5" s="46" t="n">
        <x:v>1792</x:v>
      </x:c>
      <x:c r="F5" s="46" t="n">
        <x:v>23657</x:v>
      </x:c>
      <x:c r="G5" s="46" t="n">
        <x:v>92254</x:v>
      </x:c>
    </x:row>
    <x:row r="6">
      <x:c r="A6" t="str">
        <x:v>B_balanced</x:v>
      </x:c>
      <x:c r="B6" s="46" t="n">
        <x:v>64216</x:v>
      </x:c>
      <x:c r="C6" s="46" t="n">
        <x:v>2870</x:v>
      </x:c>
      <x:c r="D6" s="46" t="n">
        <x:v>13695</x:v>
      </x:c>
      <x:c r="E6" s="46" t="n">
        <x:v>1540</x:v>
      </x:c>
      <x:c r="F6" s="46" t="n">
        <x:v>14343</x:v>
      </x:c>
      <x:c r="G6" s="46" t="n">
        <x:v>92254</x:v>
      </x:c>
    </x:row>
    <x:row r="9">
      <x:c r="A9" s="8" t="str">
        <x:v>以上是固定测试集统计。只用于事后情景分析，不重新选择阈值或按测试标签决定个人是否批准。</x:v>
      </x:c>
      <x:c r="B9" s="8"/>
      <x:c r="C9" s="8"/>
      <x:c r="D9" s="8"/>
      <x:c r="E9" s="8"/>
      <x:c r="F9" s="8"/>
      <x:c r="G9" s="8"/>
    </x:row>
    <x:row r="10">
      <x:c r="A10" s="8"/>
      <x:c r="B10" s="8"/>
      <x:c r="C10" s="8"/>
      <x:c r="D10" s="8"/>
      <x:c r="E10" s="8"/>
      <x:c r="F10" s="8"/>
      <x:c r="G10" s="8"/>
    </x:row>
  </x:sheetData>
  <x:mergeCells>
    <x:mergeCell ref="A1:G1"/>
    <x:mergeCell ref="A9:G10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0" customHeight="1">
      <x:c r="A1" s="12" t="str">
        <x:v>公式测算 | 人民币假设场景，不是已实现业务收益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</x:row>
    <x:row r="3" ht="38" customHeight="1">
      <x:c r="A3" s="20" t="str">
        <x:v>策略</x:v>
      </x:c>
      <x:c r="B3" s="20" t="str">
        <x:v>自动通过人数</x:v>
      </x:c>
      <x:c r="C3" s="20" t="str">
        <x:v>复核人数</x:v>
      </x:c>
      <x:c r="D3" s="20" t="str">
        <x:v>预计最终通过人数</x:v>
      </x:c>
      <x:c r="E3" s="20" t="str">
        <x:v>批准敞口(元)</x:v>
      </x:c>
      <x:c r="F3" s="20" t="str">
        <x:v>净息差(元)</x:v>
      </x:c>
      <x:c r="G3" s="20" t="str">
        <x:v>标签阳性敞口代理(元)</x:v>
      </x:c>
      <x:c r="H3" s="20" t="str">
        <x:v>损失代理(元)</x:v>
      </x:c>
      <x:c r="I3" s="20" t="str">
        <x:v>复核成本(元)</x:v>
      </x:c>
      <x:c r="J3" s="20" t="str">
        <x:v>固定成本(元)</x:v>
      </x:c>
      <x:c r="K3" s="20" t="str">
        <x:v>情景净值(元)</x:v>
      </x:c>
      <x:c r="L3" s="20" t="str">
        <x:v>相对示例规则净值差</x:v>
      </x:c>
      <x:c r="M3" s="20" t="str">
        <x:v>每亿元敞口净值</x:v>
      </x:c>
      <x:c r="N3" s="20" t="str">
        <x:v>代理损失/敞口</x:v>
      </x:c>
    </x:row>
    <x:row r="4">
      <x:c r="A4" s="58" t="str">
        <x:f>'策略输入'!A4</x:f>
        <x:v>surrogate_rules</x:v>
      </x:c>
      <x:c r="B4" s="60" t="n">
        <x:f>'策略输入'!B4/'策略输入'!G4*'情景假设'!$B$4</x:f>
        <x:v>1170.572549699742</x:v>
      </x:c>
      <x:c r="C4" s="60" t="n">
        <x:f>'策略输入'!D4/'策略输入'!G4*'情景假设'!$B$4</x:f>
        <x:v>6486.439612374532</x:v>
      </x:c>
      <x:c r="D4" s="60" t="n">
        <x:f>B4+C4*'情景假设'!$B$10</x:f>
        <x:v>5062.43631712446</x:v>
      </x:c>
      <x:c r="E4" s="60" t="n">
        <x:f>(B4+C4*'情景假设'!$B$10*'情景假设'!$B$11)*'情景假设'!$B$5</x:f>
        <x:v>389487718.68970454</x:v>
      </x:c>
      <x:c r="F4" s="60" t="n">
        <x:f>E4*('情景假设'!$B$6-'情景假设'!$B$7)</x:f>
        <x:v>27264140.308279313</x:v>
      </x:c>
      <x:c r="G4" s="60" t="n">
        <x:f>('策略输入'!C4+'策略输入'!E4*'情景假设'!$B$10*'情景假设'!$B$11)/'策略输入'!G4*'情景假设'!$B$4*'情景假设'!$B$5</x:f>
        <x:v>22915645.934051633</x:v>
      </x:c>
      <x:c r="H4" s="60" t="n">
        <x:f>G4*'情景假设'!$B$8*'情景假设'!$B$12</x:f>
        <x:v>10312040.670323236</x:v>
      </x:c>
      <x:c r="I4" s="60" t="n">
        <x:f>C4*'情景假设'!$B$9</x:f>
        <x:v>324321.9806187266</x:v>
      </x:c>
      <x:c r="J4" s="60" t="n">
        <x:f>IF(A4="surrogate_rules",0,'情景假设'!$B$13)</x:f>
        <x:v>0</x:v>
      </x:c>
      <x:c r="K4" s="66" t="n">
        <x:f>F4-H4-I4-J4</x:f>
        <x:v>16627777.657337349</x:v>
      </x:c>
      <x:c r="L4" s="66" t="n">
        <x:f>K4-$K$4</x:f>
        <x:v>0</x:v>
      </x:c>
      <x:c r="M4" s="67" t="n">
        <x:f>IFERROR(K4/E4*'情景假设'!$B$14,0)</x:f>
        <x:v>4269140.42714253</x:v>
      </x:c>
      <x:c r="N4" s="54" t="n">
        <x:f>IFERROR(H4/E4,0)</x:f>
        <x:v>0.026475907135183867</x:v>
      </x:c>
    </x:row>
    <x:row r="5">
      <x:c r="A5" s="58" t="str">
        <x:f>'策略输入'!A5</x:f>
        <x:v>A_conservative</x:v>
      </x:c>
      <x:c r="B5" s="60" t="n">
        <x:f>'策略输入'!B5/'策略输入'!G5*'情景假设'!$B$4</x:f>
        <x:v>4956.424653673554</x:v>
      </x:c>
      <x:c r="C5" s="60" t="n">
        <x:f>'策略输入'!D5/'策略输入'!G5*'情景假设'!$B$4</x:f>
        <x:v>2479.2420924837947</x:v>
      </x:c>
      <x:c r="D5" s="60" t="n">
        <x:f>B5+C5*'情景假设'!$B$10</x:f>
        <x:v>6443.96990916383</x:v>
      </x:c>
      <x:c r="E5" s="60" t="n">
        <x:f>(B5+C5*'情景假设'!$B$10*'情景假设'!$B$11)*'情景假设'!$B$5</x:f>
        <x:v>599770633.2516748</x:v>
      </x:c>
      <x:c r="F5" s="60" t="n">
        <x:f>E5*('情景假设'!$B$6-'情景假设'!$B$7)</x:f>
        <x:v>41983944.32761723</x:v>
      </x:c>
      <x:c r="G5" s="60" t="n">
        <x:f>('策略输入'!C5+'策略输入'!E5*'情景假设'!$B$10*'情景假设'!$B$11)/'策略输入'!G5*'情景假设'!$B$4*'情景假设'!$B$5</x:f>
        <x:v>24656275.066663772</x:v>
      </x:c>
      <x:c r="H5" s="60" t="n">
        <x:f>G5*'情景假设'!$B$8*'情景假设'!$B$12</x:f>
        <x:v>11095323.779998697</x:v>
      </x:c>
      <x:c r="I5" s="60" t="n">
        <x:f>C5*'情景假设'!$B$9</x:f>
        <x:v>123962.10462418974</x:v>
      </x:c>
      <x:c r="J5" s="60" t="n">
        <x:f>IF(A5="surrogate_rules",0,'情景假设'!$B$13)</x:f>
        <x:v>50000</x:v>
      </x:c>
      <x:c r="K5" s="66" t="n">
        <x:f>F5-H5-I5-J5</x:f>
        <x:v>30714658.44299434</x:v>
      </x:c>
      <x:c r="L5" s="66" t="n">
        <x:f>K5-$K$4</x:f>
        <x:v>14086880.785656992</x:v>
      </x:c>
      <x:c r="M5" s="67" t="n">
        <x:f>IFERROR(K5/E5*'情景假设'!$B$14,0)</x:f>
        <x:v>5121067.411465927</x:v>
      </x:c>
      <x:c r="N5" s="54" t="n">
        <x:f>IFERROR(H5/E5,0)</x:f>
        <x:v>0.018499278165463123</x:v>
      </x:c>
    </x:row>
    <x:row r="6">
      <x:c r="A6" s="58" t="str">
        <x:f>'策略输入'!A6</x:f>
        <x:v>B_balanced</x:v>
      </x:c>
      <x:c r="B6" s="60" t="n">
        <x:f>'策略输入'!B6/'策略输入'!G6*'情景假设'!$B$4</x:f>
        <x:v>6960.782188306198</x:v>
      </x:c>
      <x:c r="C6" s="60" t="n">
        <x:f>'策略输入'!D6/'策略输入'!G6*'情景假设'!$B$4</x:f>
        <x:v>1484.4884774643917</x:v>
      </x:c>
      <x:c r="D6" s="60" t="n">
        <x:f>B6+C6*'情景假设'!$B$10</x:f>
        <x:v>7851.475274784832</x:v>
      </x:c>
      <x:c r="E6" s="60" t="n">
        <x:f>(B6+C6*'情景假设'!$B$10*'情景假设'!$B$11)*'情景假设'!$B$5</x:f>
        <x:v>758426734.8841242</x:v>
      </x:c>
      <x:c r="F6" s="60" t="n">
        <x:f>E6*('情景假设'!$B$6-'情景假设'!$B$7)</x:f>
        <x:v>53089871.44188868</x:v>
      </x:c>
      <x:c r="G6" s="60" t="n">
        <x:f>('策略输入'!C6+'策略输入'!E6*'情景假设'!$B$10*'情景假设'!$B$11)/'策略输入'!G6*'情景假设'!$B$4*'情景假设'!$B$5</x:f>
        <x:v>38120840.28876797</x:v>
      </x:c>
      <x:c r="H6" s="60" t="n">
        <x:f>G6*'情景假设'!$B$8*'情景假设'!$B$12</x:f>
        <x:v>17154378.129945587</x:v>
      </x:c>
      <x:c r="I6" s="60" t="n">
        <x:f>C6*'情景假设'!$B$9</x:f>
        <x:v>74224.42387321958</x:v>
      </x:c>
      <x:c r="J6" s="60" t="n">
        <x:f>IF(A6="surrogate_rules",0,'情景假设'!$B$13)</x:f>
        <x:v>50000</x:v>
      </x:c>
      <x:c r="K6" s="66" t="n">
        <x:f>F6-H6-I6-J6</x:f>
        <x:v>35811268.88806988</x:v>
      </x:c>
      <x:c r="L6" s="66" t="n">
        <x:f>K6-$K$4</x:f>
        <x:v>19183491.230732534</x:v>
      </x:c>
      <x:c r="M6" s="67" t="n">
        <x:f>IFERROR(K6/E6*'情景假设'!$B$14,0)</x:f>
        <x:v>4721783.560747142</x:v>
      </x:c>
      <x:c r="N6" s="54" t="n">
        <x:f>IFERROR(H6/E6,0)</x:f>
        <x:v>0.02261837213922385</x:v>
      </x:c>
    </x:row>
    <x:row r="9">
      <x:c r="A9" s="8" t="str">
        <x:v>解释：扩大批准规模可能提高情景净值，同时提高绝对损失代理。TARGET并未验证为年度PD；本表不能用于宣称真实盈利、坏账下降或银行上线效果。</x:v>
      </x:c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</x:row>
    <x:row r="10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</x:row>
  </x:sheetData>
  <x:mergeCells>
    <x:mergeCell ref="A1:N1"/>
    <x:mergeCell ref="A9:N10"/>
  </x:mergeCells>
  <x:pageMargins left="0.7" right="0.7" top="0.75" bottom="0.75" header="0.3" footer="0.3"/>
</x:worksheet>
</file>